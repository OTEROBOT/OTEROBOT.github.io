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7705EB5-50E4-4DF0-96C7-9C379D725F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T" sheetId="1" r:id="rId1"/>
    <sheet name="CS" sheetId="5" r:id="rId2"/>
    <sheet name="IT (2)" sheetId="3" state="hidden" r:id="rId3"/>
  </sheets>
  <definedNames>
    <definedName name="_xlnm.Print_Area" localSheetId="1">CS!$A$1:$H$88</definedName>
    <definedName name="_xlnm.Print_Area" localSheetId="0">IT!$A$1:$H$75</definedName>
    <definedName name="_xlnm.Print_Titles" localSheetId="1">CS!$3:$4</definedName>
    <definedName name="_xlnm.Print_Titles" localSheetId="0">IT!$3:$4</definedName>
    <definedName name="_xlnm.Print_Titles" localSheetId="2">'IT (2)'!$3:$4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5" i="1" l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2" i="1"/>
  <c r="J41" i="1"/>
  <c r="J40" i="1"/>
  <c r="J38" i="1"/>
  <c r="J37" i="1"/>
  <c r="J36" i="1"/>
  <c r="J33" i="1"/>
  <c r="J32" i="1"/>
  <c r="J29" i="1"/>
  <c r="J28" i="1"/>
  <c r="J27" i="1"/>
  <c r="J26" i="1"/>
  <c r="J24" i="1"/>
  <c r="J23" i="1"/>
  <c r="J43" i="1"/>
  <c r="J39" i="1"/>
  <c r="J35" i="1"/>
  <c r="J31" i="1"/>
  <c r="J34" i="1"/>
  <c r="J30" i="1"/>
  <c r="J25" i="1"/>
  <c r="J19" i="1"/>
  <c r="J17" i="1"/>
  <c r="J16" i="1"/>
  <c r="J12" i="1"/>
  <c r="J9" i="1"/>
  <c r="J8" i="1"/>
  <c r="J7" i="1"/>
  <c r="I12" i="1"/>
  <c r="I13" i="1"/>
  <c r="J13" i="1"/>
  <c r="I14" i="1"/>
  <c r="J14" i="1"/>
  <c r="I15" i="1"/>
  <c r="J15" i="1"/>
  <c r="I16" i="1"/>
  <c r="I17" i="1"/>
  <c r="I7" i="5" l="1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K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K22" i="5" s="1"/>
  <c r="J22" i="5"/>
  <c r="I23" i="5"/>
  <c r="J23" i="5"/>
  <c r="I24" i="5"/>
  <c r="J24" i="5"/>
  <c r="I25" i="5"/>
  <c r="J25" i="5"/>
  <c r="I26" i="5"/>
  <c r="J26" i="5"/>
  <c r="I27" i="5"/>
  <c r="J27" i="5"/>
  <c r="K27" i="5" s="1"/>
  <c r="I28" i="5"/>
  <c r="J28" i="5"/>
  <c r="I29" i="5"/>
  <c r="J29" i="5"/>
  <c r="I30" i="5"/>
  <c r="J30" i="5"/>
  <c r="K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K38" i="5"/>
  <c r="I39" i="5"/>
  <c r="J39" i="5"/>
  <c r="K39" i="5" s="1"/>
  <c r="I40" i="5"/>
  <c r="J40" i="5"/>
  <c r="I41" i="5"/>
  <c r="J41" i="5"/>
  <c r="I42" i="5"/>
  <c r="J42" i="5"/>
  <c r="I43" i="5"/>
  <c r="J43" i="5"/>
  <c r="K43" i="5"/>
  <c r="I44" i="5"/>
  <c r="J44" i="5"/>
  <c r="I45" i="5"/>
  <c r="J45" i="5"/>
  <c r="I46" i="5"/>
  <c r="J46" i="5"/>
  <c r="I47" i="5"/>
  <c r="J47" i="5"/>
  <c r="K47" i="5" s="1"/>
  <c r="I48" i="5"/>
  <c r="J48" i="5"/>
  <c r="I49" i="5"/>
  <c r="J49" i="5"/>
  <c r="I50" i="5"/>
  <c r="J50" i="5"/>
  <c r="I51" i="5"/>
  <c r="J51" i="5"/>
  <c r="K51" i="5" s="1"/>
  <c r="I52" i="5"/>
  <c r="J52" i="5"/>
  <c r="I53" i="5"/>
  <c r="J53" i="5"/>
  <c r="I54" i="5"/>
  <c r="J54" i="5"/>
  <c r="K54" i="5"/>
  <c r="I55" i="5"/>
  <c r="J55" i="5"/>
  <c r="K55" i="5" s="1"/>
  <c r="I56" i="5"/>
  <c r="J56" i="5"/>
  <c r="K56" i="5" s="1"/>
  <c r="I57" i="5"/>
  <c r="J57" i="5"/>
  <c r="I58" i="5"/>
  <c r="J58" i="5"/>
  <c r="I59" i="5"/>
  <c r="J59" i="5"/>
  <c r="K59" i="5" s="1"/>
  <c r="I60" i="5"/>
  <c r="J60" i="5"/>
  <c r="I61" i="5"/>
  <c r="J61" i="5"/>
  <c r="I62" i="5"/>
  <c r="J62" i="5"/>
  <c r="K62" i="5" s="1"/>
  <c r="I63" i="5"/>
  <c r="J63" i="5"/>
  <c r="I64" i="5"/>
  <c r="J64" i="5"/>
  <c r="K64" i="5" s="1"/>
  <c r="I65" i="5"/>
  <c r="J65" i="5"/>
  <c r="I66" i="5"/>
  <c r="J66" i="5"/>
  <c r="I67" i="5"/>
  <c r="J67" i="5"/>
  <c r="K67" i="5" s="1"/>
  <c r="I68" i="5"/>
  <c r="J68" i="5"/>
  <c r="I69" i="5"/>
  <c r="J69" i="5"/>
  <c r="I70" i="5"/>
  <c r="J70" i="5"/>
  <c r="K70" i="5" s="1"/>
  <c r="I71" i="5"/>
  <c r="J71" i="5"/>
  <c r="K71" i="5" s="1"/>
  <c r="I72" i="5"/>
  <c r="J72" i="5"/>
  <c r="K72" i="5" s="1"/>
  <c r="I73" i="5"/>
  <c r="J73" i="5"/>
  <c r="I74" i="5"/>
  <c r="J74" i="5"/>
  <c r="I75" i="5"/>
  <c r="J75" i="5"/>
  <c r="K75" i="5" s="1"/>
  <c r="I76" i="5"/>
  <c r="J76" i="5"/>
  <c r="I77" i="5"/>
  <c r="J77" i="5"/>
  <c r="I78" i="5"/>
  <c r="J78" i="5"/>
  <c r="K78" i="5" s="1"/>
  <c r="I79" i="5"/>
  <c r="J79" i="5"/>
  <c r="K79" i="5"/>
  <c r="I80" i="5"/>
  <c r="J80" i="5"/>
  <c r="K80" i="5"/>
  <c r="I81" i="5"/>
  <c r="J81" i="5"/>
  <c r="I82" i="5"/>
  <c r="J82" i="5"/>
  <c r="I83" i="5"/>
  <c r="J83" i="5"/>
  <c r="K83" i="5"/>
  <c r="I84" i="5"/>
  <c r="J84" i="5"/>
  <c r="I85" i="5"/>
  <c r="K85" i="5" s="1"/>
  <c r="J85" i="5"/>
  <c r="I86" i="5"/>
  <c r="J86" i="5"/>
  <c r="K86" i="5"/>
  <c r="I87" i="5"/>
  <c r="J87" i="5"/>
  <c r="K87" i="5"/>
  <c r="I88" i="5"/>
  <c r="J88" i="5"/>
  <c r="K88" i="5"/>
  <c r="J6" i="5"/>
  <c r="I6" i="5"/>
  <c r="I9" i="1"/>
  <c r="I8" i="1"/>
  <c r="I7" i="1"/>
  <c r="I10" i="1"/>
  <c r="I11" i="1"/>
  <c r="K13" i="1"/>
  <c r="K14" i="1"/>
  <c r="I18" i="1"/>
  <c r="I19" i="1"/>
  <c r="I20" i="1"/>
  <c r="I21" i="1"/>
  <c r="I22" i="1"/>
  <c r="K22" i="1" s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K39" i="1" s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K61" i="1" s="1"/>
  <c r="I62" i="1"/>
  <c r="I63" i="1"/>
  <c r="I64" i="1"/>
  <c r="I65" i="1"/>
  <c r="I66" i="1"/>
  <c r="I67" i="1"/>
  <c r="K67" i="1" s="1"/>
  <c r="I68" i="1"/>
  <c r="I69" i="1"/>
  <c r="I70" i="1"/>
  <c r="I71" i="1"/>
  <c r="I72" i="1"/>
  <c r="I73" i="1"/>
  <c r="I74" i="1"/>
  <c r="I75" i="1"/>
  <c r="I6" i="1"/>
  <c r="J10" i="1"/>
  <c r="J11" i="1"/>
  <c r="J18" i="1"/>
  <c r="J20" i="1"/>
  <c r="K21" i="1"/>
  <c r="J21" i="1"/>
  <c r="J22" i="1"/>
  <c r="K41" i="1"/>
  <c r="K45" i="1"/>
  <c r="K55" i="1"/>
  <c r="K60" i="1"/>
  <c r="K66" i="1"/>
  <c r="J6" i="1"/>
  <c r="K37" i="1" l="1"/>
  <c r="K51" i="1"/>
  <c r="K38" i="1"/>
  <c r="K33" i="1"/>
  <c r="K19" i="1"/>
  <c r="K17" i="1"/>
  <c r="K30" i="1"/>
  <c r="K29" i="1"/>
  <c r="K27" i="1"/>
  <c r="K23" i="1"/>
  <c r="K19" i="5"/>
  <c r="K46" i="5"/>
  <c r="K18" i="5"/>
  <c r="K68" i="5"/>
  <c r="K66" i="5"/>
  <c r="K29" i="5"/>
  <c r="K40" i="5"/>
  <c r="K34" i="5"/>
  <c r="K61" i="5"/>
  <c r="K44" i="5"/>
  <c r="K10" i="5"/>
  <c r="K36" i="5"/>
  <c r="K23" i="5"/>
  <c r="K12" i="5"/>
  <c r="K11" i="5"/>
  <c r="K9" i="5"/>
  <c r="K8" i="5"/>
  <c r="K63" i="5"/>
  <c r="K35" i="5"/>
  <c r="K13" i="5"/>
  <c r="K7" i="5"/>
  <c r="K45" i="5"/>
  <c r="K42" i="5"/>
  <c r="K41" i="5"/>
  <c r="K37" i="5"/>
  <c r="K33" i="5"/>
  <c r="K32" i="5"/>
  <c r="K31" i="5"/>
  <c r="K24" i="5"/>
  <c r="K26" i="5"/>
  <c r="K25" i="5"/>
  <c r="K28" i="5"/>
  <c r="K73" i="5"/>
  <c r="K69" i="5"/>
  <c r="K74" i="5"/>
  <c r="K76" i="5"/>
  <c r="K77" i="5"/>
  <c r="K81" i="5"/>
  <c r="K82" i="5"/>
  <c r="K84" i="5"/>
  <c r="K65" i="5"/>
  <c r="K60" i="5"/>
  <c r="K57" i="5"/>
  <c r="K58" i="5"/>
  <c r="K53" i="5"/>
  <c r="K52" i="5"/>
  <c r="K50" i="5"/>
  <c r="K49" i="5"/>
  <c r="K48" i="5"/>
  <c r="K20" i="5"/>
  <c r="K16" i="5"/>
  <c r="K15" i="5"/>
  <c r="K21" i="5"/>
  <c r="K17" i="5"/>
  <c r="K6" i="5"/>
  <c r="J5" i="5"/>
  <c r="K69" i="1"/>
  <c r="K53" i="1"/>
  <c r="K70" i="1"/>
  <c r="K68" i="1"/>
  <c r="K44" i="1"/>
  <c r="K36" i="1"/>
  <c r="K28" i="1"/>
  <c r="K50" i="1"/>
  <c r="K34" i="1"/>
  <c r="K18" i="1"/>
  <c r="K43" i="1"/>
  <c r="K35" i="1"/>
  <c r="K73" i="1"/>
  <c r="K65" i="1"/>
  <c r="K57" i="1"/>
  <c r="K49" i="1"/>
  <c r="K25" i="1"/>
  <c r="K72" i="1"/>
  <c r="K64" i="1"/>
  <c r="K56" i="1"/>
  <c r="K48" i="1"/>
  <c r="K40" i="1"/>
  <c r="K32" i="1"/>
  <c r="K24" i="1"/>
  <c r="K16" i="1"/>
  <c r="K75" i="1"/>
  <c r="K46" i="1"/>
  <c r="K71" i="1"/>
  <c r="K47" i="1"/>
  <c r="K31" i="1"/>
  <c r="K15" i="1"/>
  <c r="K74" i="1"/>
  <c r="K63" i="1"/>
  <c r="K59" i="1"/>
  <c r="K58" i="1"/>
  <c r="K52" i="1"/>
  <c r="K54" i="1"/>
  <c r="K42" i="1"/>
  <c r="K26" i="1"/>
  <c r="K20" i="1"/>
  <c r="K62" i="1"/>
  <c r="K12" i="1"/>
  <c r="K10" i="1"/>
  <c r="K11" i="1"/>
  <c r="K8" i="1"/>
  <c r="K9" i="1"/>
  <c r="K7" i="1"/>
  <c r="J5" i="1"/>
  <c r="K6" i="1"/>
  <c r="K5" i="5" l="1"/>
  <c r="I5" i="5" s="1"/>
  <c r="K5" i="1"/>
  <c r="I5" i="1" s="1"/>
  <c r="B119" i="3" l="1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</calcChain>
</file>

<file path=xl/sharedStrings.xml><?xml version="1.0" encoding="utf-8"?>
<sst xmlns="http://schemas.openxmlformats.org/spreadsheetml/2006/main" count="934" uniqueCount="526">
  <si>
    <t>1. หมวดวิชาศึกษาทั่วไป หน่วยกิตน้อยสุด : 33</t>
  </si>
  <si>
    <t>กลุ่มวิชามนุษยศาสตร์   หน่วยกิตน้อยสุด : 9</t>
  </si>
  <si>
    <t>จริยธรรม   หน่วยกิตน้อยสุด : 2</t>
  </si>
  <si>
    <t>รหัสวิชา</t>
  </si>
  <si>
    <t>รายวิชา</t>
  </si>
  <si>
    <t>หน่วยกิต</t>
  </si>
  <si>
    <t>GE20001</t>
  </si>
  <si>
    <t>จริยธรรมเพื่อการดำรงชีวิต</t>
  </si>
  <si>
    <t>Morality for Living</t>
  </si>
  <si>
    <t>2(1-2-3)</t>
  </si>
  <si>
    <t>GE20005</t>
  </si>
  <si>
    <t>ศาสนาเพื่อการดำรงชีวิต</t>
  </si>
  <si>
    <t>Religion for Living</t>
  </si>
  <si>
    <t>สุนทรียศาสตร์   หน่วยกิตน้อยสุด : 3</t>
  </si>
  <si>
    <t>GE20002</t>
  </si>
  <si>
    <t>สุนทรียภาพเพื่อชีวิต</t>
  </si>
  <si>
    <t>Aesthetics for Life</t>
  </si>
  <si>
    <t>3(3-0-6)</t>
  </si>
  <si>
    <t>GE20006</t>
  </si>
  <si>
    <t>สุนทรียภาพในอีสาน</t>
  </si>
  <si>
    <t>Aesthetics in Isan</t>
  </si>
  <si>
    <t>ทักษะชีวิต   หน่วยกิตน้อยสุด : 2</t>
  </si>
  <si>
    <t>GE20003</t>
  </si>
  <si>
    <t>พฤติกรรมมนุษย์เพื่อการพัฒนาตน</t>
  </si>
  <si>
    <t>Human Behavior for Self – development</t>
  </si>
  <si>
    <t>GE20007</t>
  </si>
  <si>
    <t>จิตวิทยาการพัฒนาตนในสังคมยุคใหม่</t>
  </si>
  <si>
    <t>Psychology for Self-development in Modern Society</t>
  </si>
  <si>
    <t>สารสนเทศ   หน่วยกิตน้อยสุด : 2</t>
  </si>
  <si>
    <t>GE20004</t>
  </si>
  <si>
    <t>การรู้สารสนเทศ</t>
  </si>
  <si>
    <t>Information Literacy</t>
  </si>
  <si>
    <t>GE20008</t>
  </si>
  <si>
    <t>ทักษะสารสนเทศในชีวิตประจำวัน</t>
  </si>
  <si>
    <t>Information Literacy Skill in Daily Life</t>
  </si>
  <si>
    <t>กลุ่มวิชาสังคมศาสตร์   หน่วยกิตน้อยสุด : 6</t>
  </si>
  <si>
    <t>พลเมืองไทย   หน่วยกิตน้อยสุด : 2</t>
  </si>
  <si>
    <t>GE30001</t>
  </si>
  <si>
    <t>วิถีชีวิตพื้นถิ่นอุดรธานี</t>
  </si>
  <si>
    <t>Udon Thani’s Way of Life</t>
  </si>
  <si>
    <t>GE30004</t>
  </si>
  <si>
    <t>สังคมและวัฒนธรรมไทย</t>
  </si>
  <si>
    <t>Thai Society and Culture</t>
  </si>
  <si>
    <t>พลเมืองโลก   หน่วยกิตน้อยสุด : 2</t>
  </si>
  <si>
    <t>GE30005</t>
  </si>
  <si>
    <t>พลวัตกับสังคมโลก</t>
  </si>
  <si>
    <t>Dynamics of Global Society</t>
  </si>
  <si>
    <t>GE30006</t>
  </si>
  <si>
    <t>ลุ่มน้ำโขงกับโลกสมัยใหม่</t>
  </si>
  <si>
    <t>Mekong Basin and Modern World</t>
  </si>
  <si>
    <t>หน้าที่พลเมือง   หน่วยกิตน้อยสุด : 2</t>
  </si>
  <si>
    <t>GE30007</t>
  </si>
  <si>
    <t>กฎหมายเพื่อความเข้าใจสังคม</t>
  </si>
  <si>
    <t>Law for Social Understanding</t>
  </si>
  <si>
    <t>GE30008</t>
  </si>
  <si>
    <t>กฎหมายในชีวิตประจำวัน</t>
  </si>
  <si>
    <t>Law in Daily Life</t>
  </si>
  <si>
    <t>กลุ่มวิชาคณิตศาสตร์ วิทยาศาสตร์ และเทคโนโลยี   หน่วยกิตน้อยสุด : 9</t>
  </si>
  <si>
    <t>สิ่งแวดล้อม   หน่วยกิตน้อยสุด : 2</t>
  </si>
  <si>
    <t>GE40001</t>
  </si>
  <si>
    <t>ชีวิตกับสิ่งแวดล้อม</t>
  </si>
  <si>
    <t>Life and Environment</t>
  </si>
  <si>
    <t>GE40005</t>
  </si>
  <si>
    <t>สิ่งแวดล้อมกับการเปลี่ยนแปลง</t>
  </si>
  <si>
    <t>Environment and Changing</t>
  </si>
  <si>
    <t>วิทยาศาสตร์   หน่วยกิตน้อยสุด : 2</t>
  </si>
  <si>
    <t>GE40002</t>
  </si>
  <si>
    <t>วิทยาศาสตร์เพื่อคุณภาพชีวิต</t>
  </si>
  <si>
    <t>Science for Quality of Life</t>
  </si>
  <si>
    <t>GE40006</t>
  </si>
  <si>
    <t>วิทยาศาสตร์เพื่ออนาคต</t>
  </si>
  <si>
    <t>Science for The Future</t>
  </si>
  <si>
    <t>คณิตศาสตร์   หน่วยกิตน้อยสุด : 2</t>
  </si>
  <si>
    <t>GE40003</t>
  </si>
  <si>
    <t>การคิดและการตัดสินใจ</t>
  </si>
  <si>
    <t>Thinking and Decision Making</t>
  </si>
  <si>
    <t>GE40007</t>
  </si>
  <si>
    <t>การคิดและคณิตศาสตร์ในชีวิตประจำวัน</t>
  </si>
  <si>
    <t>Thinking and Mathematics in Daily Life</t>
  </si>
  <si>
    <t>เทคโนโลยีสารสนเทศ   หน่วยกิตน้อยสุด : 3</t>
  </si>
  <si>
    <t>GE40004</t>
  </si>
  <si>
    <t>เทคโนโลยีสารสนเทศเพื่อการเรียนรู้</t>
  </si>
  <si>
    <t>Information Technology for Learning</t>
  </si>
  <si>
    <t>3(2-2-5)</t>
  </si>
  <si>
    <t>GE40008</t>
  </si>
  <si>
    <t>รู้ทันโลกเทคโนโลยี</t>
  </si>
  <si>
    <t>Technology Literacy</t>
  </si>
  <si>
    <t>กลุ่มวิชาภาษาศาสตร์   หน่วยกิตน้อยสุด : 9</t>
  </si>
  <si>
    <t>ภาษาไทย   หน่วยกิตน้อยสุด : 3</t>
  </si>
  <si>
    <t>GE10001</t>
  </si>
  <si>
    <t>ภาษาไทยเพื่อการสื่อสาร</t>
  </si>
  <si>
    <t>Thai for communicaton</t>
  </si>
  <si>
    <t>GE10004</t>
  </si>
  <si>
    <t>สุนทรียภาพในภาษาไทย</t>
  </si>
  <si>
    <t>Aesthetics in Thai Language</t>
  </si>
  <si>
    <t>ทักษะการฟัง-พูด ภาษาอังกฤษ   หน่วยกิตน้อยสุด : 3</t>
  </si>
  <si>
    <t>GE10003</t>
  </si>
  <si>
    <t>การอ่านและการเขียนภาษาอังกฤษเพื่อจุดประสงค์ทั่วไป</t>
  </si>
  <si>
    <t>Reading and Writing English for General Purposes</t>
  </si>
  <si>
    <t>GE10006</t>
  </si>
  <si>
    <t>การอ่านและการเขียนภาษาอังกฤษเพื่อการนำไปใช้</t>
  </si>
  <si>
    <t>English Reading and Writing in Use</t>
  </si>
  <si>
    <t>ทักษะการอ่าน-เขียน ภาษาอังกฤษ   หน่วยกิตน้อยสุด : 3</t>
  </si>
  <si>
    <t>GE10002</t>
  </si>
  <si>
    <t>ภาษาอังกฤษเพื่อการสื่อสาร</t>
  </si>
  <si>
    <t>English for Communication</t>
  </si>
  <si>
    <t>GE10005</t>
  </si>
  <si>
    <t>ภาษาอังกฤษเพื่อการสื่อสารในสถานการณ์เฉพาะหน้า</t>
  </si>
  <si>
    <t>Communicative English in Impromptu Situations</t>
  </si>
  <si>
    <t>2. หมวดวิชาเฉพาะ หน่วยกิตน้อยสุด : 96</t>
  </si>
  <si>
    <t>วิชาแกน   หน่วยกิตน้อยสุด : 18</t>
  </si>
  <si>
    <t>EN56205</t>
  </si>
  <si>
    <t>ภาษาอังกฤษเพื่องานอาชีพ</t>
  </si>
  <si>
    <t>English for Occupational Purposes</t>
  </si>
  <si>
    <t>EN56206</t>
  </si>
  <si>
    <t>ภาษาอังกฤษเพื่อจุดประสงค์ทางวิชาการ</t>
  </si>
  <si>
    <t>English for Academic Purposes</t>
  </si>
  <si>
    <t>GM32102</t>
  </si>
  <si>
    <t>ความรู้เบื้องต้นเกี่ยวกับการประกอบธุรกิจ</t>
  </si>
  <si>
    <t>Introduction to Business Operation</t>
  </si>
  <si>
    <t>IT12101</t>
  </si>
  <si>
    <t>พื้นฐานระบบสารสนเทศ</t>
  </si>
  <si>
    <t>Fundamental of Information System</t>
  </si>
  <si>
    <t>IT41101</t>
  </si>
  <si>
    <t>คณิตศาสตร์สำหรับเทคโนโลยีสารสนเทศ</t>
  </si>
  <si>
    <t>Mathematics for Information Technology</t>
  </si>
  <si>
    <t>ST01104</t>
  </si>
  <si>
    <t>สถิติศาสตร์สำหรับเทคโนโลยีสารสนเทศ</t>
  </si>
  <si>
    <t>Statistics for Information Technology</t>
  </si>
  <si>
    <t>วิชาประสบการณ์ภาคสนาม   หน่วยกิตน้อยสุด : 3</t>
  </si>
  <si>
    <t>IT18302</t>
  </si>
  <si>
    <t>การฝึกประสบการณ์วิชาชีพด้านเทคโนโลยีสารสนเทศ</t>
  </si>
  <si>
    <t>Field Experience in Information Technology</t>
  </si>
  <si>
    <t>3(-280-)</t>
  </si>
  <si>
    <t>กลุ่มวิชาสหกิจศึกษา   หน่วยกิตน้อยสุด : 6</t>
  </si>
  <si>
    <t>IT18402</t>
  </si>
  <si>
    <t>สหกิจศึกษา</t>
  </si>
  <si>
    <t>Cooperative Education</t>
  </si>
  <si>
    <t>6(-560-)</t>
  </si>
  <si>
    <t>เอกเลือกจากรายวิชาที่กำหนด   หน่วยกิตน้อยสุด : 9</t>
  </si>
  <si>
    <t>IT12203</t>
  </si>
  <si>
    <t>ระบบสารสนเทศเพื่อการจัดการ</t>
  </si>
  <si>
    <t>Management Information Systems</t>
  </si>
  <si>
    <t>IT22306</t>
  </si>
  <si>
    <t>ระบบสนับสนุนการตัดสินใจ</t>
  </si>
  <si>
    <t>Decision Support Systems</t>
  </si>
  <si>
    <t>IT22307</t>
  </si>
  <si>
    <t>การสืบเสาะความรู้จากฐานข้อมูล</t>
  </si>
  <si>
    <t>Knowledge Discovery in Databases</t>
  </si>
  <si>
    <t>IT24101</t>
  </si>
  <si>
    <t>การออกแบบและสร้างภาพเคลื่อนไหว</t>
  </si>
  <si>
    <t>Animation Design and Creation</t>
  </si>
  <si>
    <t>IT24301</t>
  </si>
  <si>
    <t>ระบบมัลติมีเดีย</t>
  </si>
  <si>
    <t>Multimedia Systems</t>
  </si>
  <si>
    <t>IT24302</t>
  </si>
  <si>
    <t>ภาพและเสียงดิจิทัล</t>
  </si>
  <si>
    <t>Digital Image and Sound</t>
  </si>
  <si>
    <t>IT24305</t>
  </si>
  <si>
    <t>การออกแบบเกมคอมพิวเตอร์</t>
  </si>
  <si>
    <t>Computer Game Design</t>
  </si>
  <si>
    <t>IT24401</t>
  </si>
  <si>
    <t>มัลติมีเดียและอินเทอร์เน็ต</t>
  </si>
  <si>
    <t>Multimedia and Internet</t>
  </si>
  <si>
    <t>IT25308</t>
  </si>
  <si>
    <t>การตลาดดิจิทัล</t>
  </si>
  <si>
    <t>Digital Marketing</t>
  </si>
  <si>
    <t>IT26301</t>
  </si>
  <si>
    <t>เทคโนโลยีการเชื่อมต่อระหว่างเครือข่าย</t>
  </si>
  <si>
    <t>Internetworking Technology</t>
  </si>
  <si>
    <t>IT34303</t>
  </si>
  <si>
    <t>วิศวกรรมระบบมัลติมีเดีย</t>
  </si>
  <si>
    <t>Multimedia System Engineering</t>
  </si>
  <si>
    <t>IT44301</t>
  </si>
  <si>
    <t>คอมพิวเตอร์กราฟิกเบื้องต้น</t>
  </si>
  <si>
    <t>Fundamental Computer Graphics</t>
  </si>
  <si>
    <t>วิชาเอกบังคับ   หน่วยกิตน้อยสุด : 54</t>
  </si>
  <si>
    <t>IT12202</t>
  </si>
  <si>
    <t>ปฏิสัมพันธ์ระหว่างมนุษย์และคอมพิวเตอร์</t>
  </si>
  <si>
    <t>Human and Computer Interaction</t>
  </si>
  <si>
    <t>IT12301</t>
  </si>
  <si>
    <t>บริบททางสังคมและจริยธรรมสำหรับนักเทคโนโลยีสารสนเทศ</t>
  </si>
  <si>
    <t>Social Context and Ethics for Information Technology Profession</t>
  </si>
  <si>
    <t>1(1-2-3)</t>
  </si>
  <si>
    <t>IT12302</t>
  </si>
  <si>
    <t>การประกันและความมั่นคงสารสนเทศ</t>
  </si>
  <si>
    <t>Information Assurance and Security</t>
  </si>
  <si>
    <t>IT16303</t>
  </si>
  <si>
    <t>การบริหารและการบำรุงรักษาระบบ</t>
  </si>
  <si>
    <t>System Administration and Maintenance</t>
  </si>
  <si>
    <t>IT18403</t>
  </si>
  <si>
    <t>การเตรียมฝึกประสบการณ์ภาคสนามด้านเทคโนโลยีสารสนเทศ</t>
  </si>
  <si>
    <t>Preparation for Field Experience in Information Technology</t>
  </si>
  <si>
    <t>IT25103</t>
  </si>
  <si>
    <t>เว็บเทคโนโลยีและการออกแบบเว็บ</t>
  </si>
  <si>
    <t>Web Technology and Web Design</t>
  </si>
  <si>
    <t>IT26201</t>
  </si>
  <si>
    <t>เครือข่ายคอมพิวเตอร์</t>
  </si>
  <si>
    <t>Computer Networks</t>
  </si>
  <si>
    <t>IT27205</t>
  </si>
  <si>
    <t>การพัฒนาโปรแกรมประยุกต์ไร้สาย</t>
  </si>
  <si>
    <t>Wireless Application Development</t>
  </si>
  <si>
    <t>IT27308</t>
  </si>
  <si>
    <t>การพัฒนาโปรแกรมประยุกต์ทางด้านฐานข้อมูล</t>
  </si>
  <si>
    <t>Database Application Development</t>
  </si>
  <si>
    <t>IT29301</t>
  </si>
  <si>
    <t>การสัมมนาทางเทคโนโลยีสารสนเทศ</t>
  </si>
  <si>
    <t>Seminar on Information Technology</t>
  </si>
  <si>
    <t>IT29401</t>
  </si>
  <si>
    <t>โครงงานทางเทคโนโลยีสารสนเทศ 1</t>
  </si>
  <si>
    <t>Senior Project in Information Technology I</t>
  </si>
  <si>
    <t>3(1-4-4)</t>
  </si>
  <si>
    <t>IT29402</t>
  </si>
  <si>
    <t>โครงงานทางเทคโนโลยีสารสนเทศ 2</t>
  </si>
  <si>
    <t>Senior Project in Information Technology II</t>
  </si>
  <si>
    <t>IT43204</t>
  </si>
  <si>
    <t>การเขียนโปรแกรมเชิงวัตถุ</t>
  </si>
  <si>
    <t>Object-Oriented Programming</t>
  </si>
  <si>
    <t>IT22308</t>
  </si>
  <si>
    <t>ปัญญาประดิษฐ์เบื้องต้น</t>
  </si>
  <si>
    <t>Fundamental Artificial Intelligence</t>
  </si>
  <si>
    <t>IT25305</t>
  </si>
  <si>
    <t>การเขียนโปรแกรมบนเว็บ</t>
  </si>
  <si>
    <t>Web-based Programming</t>
  </si>
  <si>
    <t>IT37201</t>
  </si>
  <si>
    <t>ระบบฐานข้อมูล</t>
  </si>
  <si>
    <t>Database Systems</t>
  </si>
  <si>
    <t>IT37204</t>
  </si>
  <si>
    <t>การวิเคราะห์และออกแบบระบบ</t>
  </si>
  <si>
    <t>System Analysis and Design</t>
  </si>
  <si>
    <t>IT43102</t>
  </si>
  <si>
    <t>การเขียนโปรแกรมเบื้องต้น</t>
  </si>
  <si>
    <t>Fundamental Programming</t>
  </si>
  <si>
    <t>IT43203</t>
  </si>
  <si>
    <t>โครงสร้างข้อมูลและขั้นตอนวิธี</t>
  </si>
  <si>
    <t>Data Structure and Algorithms</t>
  </si>
  <si>
    <t>IT46101</t>
  </si>
  <si>
    <t>แพลตฟอร์มเทคโนโลยี</t>
  </si>
  <si>
    <t>Platform Technology</t>
  </si>
  <si>
    <t>วิชาเอกเลือก   หน่วยกิตน้อยสุด : 12</t>
  </si>
  <si>
    <t>IT25301</t>
  </si>
  <si>
    <t>การพาณิชย์อิเล็กทรอนิกส์</t>
  </si>
  <si>
    <t>Electronic Commerce</t>
  </si>
  <si>
    <t>IT25306</t>
  </si>
  <si>
    <t>การจัดการธุรกิจอิเล็กทรอนิกส์</t>
  </si>
  <si>
    <t>Electronic Business Management</t>
  </si>
  <si>
    <t>IT25307</t>
  </si>
  <si>
    <t>การพัฒนาระบบอัจฉริยะทางธุรกิจ</t>
  </si>
  <si>
    <t>Business Intelligence System Development</t>
  </si>
  <si>
    <t>IT26401</t>
  </si>
  <si>
    <t>ความมั่นคงและความเป็นส่วนตัวสำหรับธุรกิจอิเล็กทรอนิกส์</t>
  </si>
  <si>
    <t>Electronic Business Security and Privacy</t>
  </si>
  <si>
    <t>กลุ่มวิชาเทคโนโลยีอุปกรณ์เคลื่อนที่   หน่วยกิตน้อยสุด : 12</t>
  </si>
  <si>
    <t>IT26302</t>
  </si>
  <si>
    <t>การพัฒนาโปรแกรมประยุกต์บนอุปกรณ์เคลื่อนที่ 1</t>
  </si>
  <si>
    <t>Mobile Application Development 1</t>
  </si>
  <si>
    <t>IT26303</t>
  </si>
  <si>
    <t>การพัฒนาโปรแกรมประยุกต์บนอุปกรณ์เคลื่อนที่ 2</t>
  </si>
  <si>
    <t>Mobile Application Development 2</t>
  </si>
  <si>
    <t>IT26304</t>
  </si>
  <si>
    <t>การสื่อสารไร้สาร</t>
  </si>
  <si>
    <t>Wireless Communication</t>
  </si>
  <si>
    <t>IT26402</t>
  </si>
  <si>
    <t>การพัฒนาโปรแกรมประยุกต์บนอุปกรณ์ชาญฉลาด</t>
  </si>
  <si>
    <t>Intelligent Devices Application Development</t>
  </si>
  <si>
    <t>กลุ่มวิชาพัฒนาซอฟต์แวร์   หน่วยกิตน้อยสุด : 12</t>
  </si>
  <si>
    <t>IT27306</t>
  </si>
  <si>
    <t>ระบบฐานข้อมูลขั้นสูง</t>
  </si>
  <si>
    <t>Advanced Database Systems</t>
  </si>
  <si>
    <t>IT37304</t>
  </si>
  <si>
    <t>การบริหารโครงการซอฟต์แวร์</t>
  </si>
  <si>
    <t>Software Project Management</t>
  </si>
  <si>
    <t>IT37305</t>
  </si>
  <si>
    <t>วิศวกรรมซอฟต์แวร์</t>
  </si>
  <si>
    <t>Software Engineering</t>
  </si>
  <si>
    <t>IT37401</t>
  </si>
  <si>
    <t>การทดสอบและการประเมินคุณภาพซอฟต์แวร์</t>
  </si>
  <si>
    <t>Testing and Quality Evaluation of Software</t>
  </si>
  <si>
    <t>3. หมวดวิชาเลือกเสรี หน่วยกิตน้อยสุด : 6</t>
  </si>
  <si>
    <t>ชื่อวิชา(ภาษาอังกฤษ)</t>
  </si>
  <si>
    <t>กลุ่มวิชาการฝึกประสบการณ์วิชาชีพ   หน่วยกิตน้อยสุด : 3</t>
  </si>
  <si>
    <t>ID</t>
  </si>
  <si>
    <t>กลุ่มวิชา</t>
  </si>
  <si>
    <t>กลุ่ม</t>
  </si>
  <si>
    <t xml:space="preserve">กลุ่มวิชามนุษยศาสตร์ </t>
  </si>
  <si>
    <t xml:space="preserve">จริยธรรม </t>
  </si>
  <si>
    <t xml:space="preserve">สุนทรียศาสตร์ </t>
  </si>
  <si>
    <t xml:space="preserve">ทักษะชีวิต </t>
  </si>
  <si>
    <t xml:space="preserve">สารสนเทศ </t>
  </si>
  <si>
    <t xml:space="preserve">กลุ่มวิชาสังคมศาสตร์ </t>
  </si>
  <si>
    <t xml:space="preserve">พลเมืองไทย </t>
  </si>
  <si>
    <t xml:space="preserve">พลเมืองโลก </t>
  </si>
  <si>
    <t xml:space="preserve">หน้าที่พลเมือง </t>
  </si>
  <si>
    <t xml:space="preserve">กลุ่มวิชาคณิตศาสตร์ </t>
  </si>
  <si>
    <t xml:space="preserve">สิ่งแวดล้อม </t>
  </si>
  <si>
    <t xml:space="preserve">วิทยาศาสตร์ </t>
  </si>
  <si>
    <t xml:space="preserve">คณิตศาสตร์ </t>
  </si>
  <si>
    <t xml:space="preserve">เทคโนโลยีสารสนเทศ </t>
  </si>
  <si>
    <t xml:space="preserve">กลุ่มวิชาภาษาศาสตร์ </t>
  </si>
  <si>
    <t xml:space="preserve">ภาษาไทย </t>
  </si>
  <si>
    <t xml:space="preserve">ทักษะการฟัง-พูด </t>
  </si>
  <si>
    <t xml:space="preserve">ทักษะการอ่าน-เขียน </t>
  </si>
  <si>
    <t xml:space="preserve">วิชาแกน </t>
  </si>
  <si>
    <t xml:space="preserve">กลุ่มวิชาการฝึกประสบการณ์วิชาชีพ </t>
  </si>
  <si>
    <t xml:space="preserve">กลุ่มวิชาสหกิจศึกษา </t>
  </si>
  <si>
    <t xml:space="preserve">เอกเลือกจากรายวิชาที่กำหนด </t>
  </si>
  <si>
    <t xml:space="preserve">กลุ่มวิชาเทคโนโลยีอุปกรณ์เคลื่อนที่ </t>
  </si>
  <si>
    <t xml:space="preserve">กลุ่มวิชาพัฒนาซอฟต์แวร์ </t>
  </si>
  <si>
    <t xml:space="preserve">กลุ่มประเด็นด้านองค์การและระบบสารสนเทศ </t>
  </si>
  <si>
    <t>กลุ่มประเด็นด้านองค์การและระบบสารสนเทศ   หน่วยกิตน้อยสุด : 11</t>
  </si>
  <si>
    <t>กลุ่มวิชาธุรกิจอิเล็กทรอนิกส์   หน่วยกิตน้อยสุด : 12</t>
  </si>
  <si>
    <t xml:space="preserve">กลุ่มวิชาธุรกิจอิเล็กทรอนิกส์ </t>
  </si>
  <si>
    <t xml:space="preserve">กลุ่มเทคโนโลยีเพื่อการประยุกต์ </t>
  </si>
  <si>
    <t>กลุ่มเทคโนโลยีเพื่อการประยุกต์   หน่วยกิตน้อยสุด : 22</t>
  </si>
  <si>
    <t>กลุ่มเทคโนโลยีและวิธีการทางซอฟต์แวร์   หน่วยกิตน้อยสุด : 12</t>
  </si>
  <si>
    <t xml:space="preserve">กลุ่มเทคโนโลยีและวิธีการทางซอฟต์แวร์ </t>
  </si>
  <si>
    <t>กลุ่มโครงสร้างพื้นฐานของระบบ   หน่วยกิตน้อยสุด : 9</t>
  </si>
  <si>
    <t xml:space="preserve">กลุ่มโครงสร้างพื้นฐานของระบบ </t>
  </si>
  <si>
    <t>เกรด</t>
  </si>
  <si>
    <t>หมายเหตุ</t>
  </si>
  <si>
    <t>ปีการศึกษา</t>
  </si>
  <si>
    <t>ลงทะเบียนเรียน</t>
  </si>
  <si>
    <t>ภาคเรียนที่</t>
  </si>
  <si>
    <t>ชื่อผู้สอน</t>
  </si>
  <si>
    <t>(เลือกเรียนกลุ่มใดกลุ่มหนึ่ง)</t>
  </si>
  <si>
    <t>หลักสูตรวิทยาศาสตรบัณฑิต สาขาวิชาเทคโนโลยีสารสนเทศ (ปรับปรุง พ.ศ.   2559) (135 หน่วยกิต)</t>
  </si>
  <si>
    <t>หลักสูตรวิทยาศาสตรบัณฑิต สาขาวิชาเทคโนโลยีสารสนเทศ (ปรับปรุง พ.ศ.   2564) (130 หน่วยกิต)</t>
  </si>
  <si>
    <t>1. หมวดวิชาศึกษาทั่วไป หน่วยกิตน้อยสุด : 30</t>
  </si>
  <si>
    <t>GE11001</t>
  </si>
  <si>
    <t>ศาสตร์พระราชาเพื่อการพัฒนาท้องถิ่น</t>
  </si>
  <si>
    <t>6(3-6-9)</t>
  </si>
  <si>
    <t>GE22001</t>
  </si>
  <si>
    <t>GE33001</t>
  </si>
  <si>
    <t>GE33002</t>
  </si>
  <si>
    <t>GE44001</t>
  </si>
  <si>
    <t>GE44002</t>
  </si>
  <si>
    <t>GE44003</t>
  </si>
  <si>
    <t>ความดีงามแห่งชีวิต</t>
  </si>
  <si>
    <t>วิทยาศาสตร์และประเด็นร่วมสมัย</t>
  </si>
  <si>
    <t>รู้ทันโลกดิจิทัล</t>
  </si>
  <si>
    <t>ภาษาอังกฤษในชีวิตประจำวันและการทำงาน</t>
  </si>
  <si>
    <t>ภาษาอังกฤษเพื่อการนำไปใช้</t>
  </si>
  <si>
    <t>2. หมวดวิชาเฉพาะ หน่วยกิตน้อยสุด : 94</t>
  </si>
  <si>
    <t>EN56201</t>
  </si>
  <si>
    <t>EN56202</t>
  </si>
  <si>
    <t>IT12303</t>
  </si>
  <si>
    <t>การเป็นผู้ประกอบการทางธุรกิจดิจิทัล</t>
  </si>
  <si>
    <t>IT41301</t>
  </si>
  <si>
    <t>สถิติสำหรับเทคโนโลยีสารสนเทศ</t>
  </si>
  <si>
    <t>วิชาเอกบังคับ   หน่วยกิตน้อยสุด :49</t>
  </si>
  <si>
    <t>การปฏิสัมพันธ์ระหว่างมนุษย์และคอมพิวเตอร์</t>
  </si>
  <si>
    <t>กฎหมาย จริยธรรมและวิชาชีพทางเทคโนโลยีสารสนเทศ</t>
  </si>
  <si>
    <t>ความมั่นคงสารสนเทศและไซเบอร์</t>
  </si>
  <si>
    <t>2(240)</t>
  </si>
  <si>
    <t>กลุ่มเทคโนโลยีเพื่อการประยุกต์   หน่วยกิตน้อยสุด : 19</t>
  </si>
  <si>
    <t>กลุ่มประเด็นด้านองค์การและระบบสารสนเทศ   หน่วยกิตน้อยสุด : 12</t>
  </si>
  <si>
    <t>การพัฒนาโปรแกรมประยุกต์บนอุปกรณ์เคลื่อนที่</t>
  </si>
  <si>
    <t>ระบบการจัดการฐานข้อมูลและการประยุกต์</t>
  </si>
  <si>
    <t>การวิเคราะห์และออกแบบระบบสารสนเทศ</t>
  </si>
  <si>
    <t>กลุ่มโครงสร้างพื้นฐานของระบบ   หน่วยกิตน้อยสุด : 6</t>
  </si>
  <si>
    <t>เทคโนโลยีแพลตฟอร์มคอมพิวเตอร์</t>
  </si>
  <si>
    <t>กลุ่มวิชาการจัดการเทคโนโลยีสารสนเทศ   หน่วยกิตน้อยสุด : 12</t>
  </si>
  <si>
    <t>เทคโนโลยีการวิเคราะห์และจัดการข้อมูล</t>
  </si>
  <si>
    <t>การบริหารโครงการระบบสารสนเทศ</t>
  </si>
  <si>
    <t>การจัดการธุรกิจดิจิทัล</t>
  </si>
  <si>
    <t>IT25309</t>
  </si>
  <si>
    <t>เทคโนโลยีบล็อกเชน</t>
  </si>
  <si>
    <t>กลุ่มวิชาธุรกิจดิจิทัล  หน่วยกิตน้อยสุด : 12</t>
  </si>
  <si>
    <t>IT24102</t>
  </si>
  <si>
    <t>การออกแบบและผลิตสื่อดิจิทัล</t>
  </si>
  <si>
    <t>การพัฒนาเกมคอมพิวเตอร์</t>
  </si>
  <si>
    <t>อินโฟกราฟิกเบื้องต้น</t>
  </si>
  <si>
    <t>เทคโนโลยีความจริงเสมือน</t>
  </si>
  <si>
    <t>อินเทอร์เน็ตสำหรับสรรพสิ่ง</t>
  </si>
  <si>
    <t>การพัฒนาโปรแกรมประยุกต์บนอุปกรณ์เคลื่อนที่ขั้นสูง</t>
  </si>
  <si>
    <t>การประมวลผลแบบคลาวด์</t>
  </si>
  <si>
    <t>วิทยาการข้อมูล</t>
  </si>
  <si>
    <t>IT24306</t>
  </si>
  <si>
    <t>IT24307</t>
  </si>
  <si>
    <t>IT26305</t>
  </si>
  <si>
    <t>IT26306</t>
  </si>
  <si>
    <t>IT26308</t>
  </si>
  <si>
    <t>IT37301</t>
  </si>
  <si>
    <t>โครงงานหรือสหกิจ หน่วยกิต : 6</t>
  </si>
  <si>
    <t>แผนโครงงานนักศึกษา  หน่วยกิต : 6</t>
  </si>
  <si>
    <t>แผนสหกิจศึกษา  หน่วยกิต : 6</t>
  </si>
  <si>
    <t>IT8402</t>
  </si>
  <si>
    <t>6(480)</t>
  </si>
  <si>
    <t>1(0-2-1)</t>
  </si>
  <si>
    <t>GPA</t>
  </si>
  <si>
    <t>หลักสูตรวิทยาศาสตรบัณฑิต สาขาวิชาวิทยาการคอมพิวเตอร์ (ปรับปรุง พ.ศ.   2564) (130 หน่วยกิต)</t>
  </si>
  <si>
    <t>องค์ประกอบและสถาปัตยกรรมคอมพิวเตอร์</t>
  </si>
  <si>
    <t>CS52102</t>
  </si>
  <si>
    <t>ระบบปฏิบัติการ</t>
  </si>
  <si>
    <t>CS42101</t>
  </si>
  <si>
    <t>CS41205</t>
  </si>
  <si>
    <t>วิทยาการคอมพิวเตอร์เบื้องต้น</t>
  </si>
  <si>
    <t>CS41101</t>
  </si>
  <si>
    <t>การออกแบบและพัฒนาซอฟต์แวร์เชิงวัตถุ</t>
  </si>
  <si>
    <t>CS39302</t>
  </si>
  <si>
    <t>CS39201</t>
  </si>
  <si>
    <t>การเขียนโปรแกรมคอมพิวเตอร์ขั้นสูง</t>
  </si>
  <si>
    <t>CS34204</t>
  </si>
  <si>
    <t>CS34203</t>
  </si>
  <si>
    <t>CS34102</t>
  </si>
  <si>
    <t>การเขียนโปรแกรมคอมพิวเตอร์</t>
  </si>
  <si>
    <t>CS34101</t>
  </si>
  <si>
    <t>ปัญญาประดิษฐ์</t>
  </si>
  <si>
    <t>CS27301</t>
  </si>
  <si>
    <t>ระบบจัดการฐานข้อมูล</t>
  </si>
  <si>
    <t>CS26202</t>
  </si>
  <si>
    <t>CS26201</t>
  </si>
  <si>
    <t>การสัมมนาทางวิทยาการคอมพิวเตอร์</t>
  </si>
  <si>
    <t>CS25302</t>
  </si>
  <si>
    <t>ความมั่นคงของคอมพิวเตอร์และเครือข่าย</t>
  </si>
  <si>
    <t>CS23202</t>
  </si>
  <si>
    <t>การสื่อสารข้อมูลและเครือข่าย</t>
  </si>
  <si>
    <t>CS23201</t>
  </si>
  <si>
    <t>2(-240-)</t>
  </si>
  <si>
    <t>การฝึกประสบการณ์วิชาชีพด้านวิทยาการคอมพิวเตอร์</t>
  </si>
  <si>
    <t>CS18402</t>
  </si>
  <si>
    <t>การเตรียมฝึกประสบการณ์ภาคสนาม</t>
  </si>
  <si>
    <t>CS18301</t>
  </si>
  <si>
    <t>สถิติศาสตร์สำหรับวิทยาศาสตร์</t>
  </si>
  <si>
    <t>MA10102</t>
  </si>
  <si>
    <t>แคลคูลัส 1</t>
  </si>
  <si>
    <t>MA01101</t>
  </si>
  <si>
    <t>ระเบียบวิธีเชิงตัวเลขสำหรับวิทยาการคอมพิวเตอร์</t>
  </si>
  <si>
    <t>CS41204</t>
  </si>
  <si>
    <t>คณิตศาสตร์ดิสครีต</t>
  </si>
  <si>
    <t>CS41102</t>
  </si>
  <si>
    <t>การเป็นผู้ประกอบการเทคโนโลยีสารสนเทศ</t>
  </si>
  <si>
    <t>CS15301</t>
  </si>
  <si>
    <t>โครงงานทางวิทยาการคอมพิวเตอร์ 2</t>
  </si>
  <si>
    <t>CS29407</t>
  </si>
  <si>
    <t>โครงงานทางวิทยาการคอมพิวเตอร์ 1</t>
  </si>
  <si>
    <t>CS29406</t>
  </si>
  <si>
    <t>CS18403</t>
  </si>
  <si>
    <t>การวิเคราะห์ข้อมูลขนาดใหญ่</t>
  </si>
  <si>
    <t>CS27410</t>
  </si>
  <si>
    <t>การรู้จำรูปแบบและการประยุกต์</t>
  </si>
  <si>
    <t>CS27306</t>
  </si>
  <si>
    <t>โครงข่ายประสาทเทียม</t>
  </si>
  <si>
    <t>CS27305</t>
  </si>
  <si>
    <t>การทำเหมืองข้อมูล</t>
  </si>
  <si>
    <t>CS27304</t>
  </si>
  <si>
    <t>การเรียนรู้เชิงลึก</t>
  </si>
  <si>
    <t>CS27303</t>
  </si>
  <si>
    <t>พื้นฐานวิทยาการข้อมูล</t>
  </si>
  <si>
    <t>CS27302</t>
  </si>
  <si>
    <t>การทดสอบและประเมินคุณภาพซอฟต์แวร์</t>
  </si>
  <si>
    <t>CS39405</t>
  </si>
  <si>
    <t>CS39304</t>
  </si>
  <si>
    <t>CS39303</t>
  </si>
  <si>
    <t>การเขียนโปรแกรมเกม</t>
  </si>
  <si>
    <t>CS34306</t>
  </si>
  <si>
    <t>ระบบมัลติมีเดียและการประยุกต์</t>
  </si>
  <si>
    <t>CS25303</t>
  </si>
  <si>
    <t>การพัฒนาโปรแกรมประยุกต์บนเว็บขั้นสูง</t>
  </si>
  <si>
    <t>CS24305</t>
  </si>
  <si>
    <t>CS23409</t>
  </si>
  <si>
    <t>อินเทอร์เน็ตของสรรพสิ่ง</t>
  </si>
  <si>
    <t>CS23307</t>
  </si>
  <si>
    <t>เครือข่ายขั้นสูง</t>
  </si>
  <si>
    <t>CS23306</t>
  </si>
  <si>
    <t>การเขียนโปรแกรมเครือข่ายคอมพิวเตอร์</t>
  </si>
  <si>
    <t>CS23305</t>
  </si>
  <si>
    <t>ความมั่นคงไซเบอร์</t>
  </si>
  <si>
    <t>CS23304</t>
  </si>
  <si>
    <t>เครือข่ายไร้สาย</t>
  </si>
  <si>
    <t>CS23303</t>
  </si>
  <si>
    <t>วิทยาการคำนวณ</t>
  </si>
  <si>
    <t>CS41103</t>
  </si>
  <si>
    <t>คอมพิวเตอร์วิทัศน์</t>
  </si>
  <si>
    <t>CS27309</t>
  </si>
  <si>
    <t>การประมวลผลภาพ</t>
  </si>
  <si>
    <t>CS27308</t>
  </si>
  <si>
    <t>ปัญญาประดิษฐ์ขั้นสูง</t>
  </si>
  <si>
    <t>CS27307</t>
  </si>
  <si>
    <t>การประยุกต์คอมพิวเตอร์สำหรับคณิตศาสตร์</t>
  </si>
  <si>
    <t>CS25307</t>
  </si>
  <si>
    <t>การพัฒนาเว็บไซต์ด้วยโปรแกรมสำเร็จรูป</t>
  </si>
  <si>
    <t>CS25306</t>
  </si>
  <si>
    <t>การประยุกต์ใช้คอมพิวเตอร์ในชีวิตประจำวัน</t>
  </si>
  <si>
    <t>CS25305</t>
  </si>
  <si>
    <t>เทคโนโลยีความเป็นจริงเสมือนและความจริงเสริม</t>
  </si>
  <si>
    <t>CS25304</t>
  </si>
  <si>
    <t>การพัฒนาแอพพลิเคชันบนอุปกรณ์เคลื่อนที่</t>
  </si>
  <si>
    <t>CS24307</t>
  </si>
  <si>
    <t>CS23308</t>
  </si>
  <si>
    <t>วิชาเอกเลือก   หน่วยกิตน้อยสุด : 18</t>
  </si>
  <si>
    <t>วิชาเฉพาะด้าน   หน่วยกิตน้อยสุด :49</t>
  </si>
  <si>
    <t>กลุ่มประเด็นด้านองค์การและระบบสารสนเทศ   หน่วยกิตน้อยสุด : 15</t>
  </si>
  <si>
    <t>กลุ่มเทคโนโลยีเพื่อการประยุกต์   หน่วยกิตน้อยสุด : 7</t>
  </si>
  <si>
    <t>กลุ่มโครงสร้างพื้นฐานของระบบ   หน่วยกิตน้อยสุด : 12</t>
  </si>
  <si>
    <t>กลุ่มโครงสร้างพื้นฐานของระบบ   หน่วยกิตน้อยสุด : 3</t>
  </si>
  <si>
    <t>กลุ่มเครือข่ายคอมพิวเตอร์และความมั่นคงไซเบอร์  หน่วยกิตน้อยสุด : 12</t>
  </si>
  <si>
    <t>กลุ่มวิธีการทางซอฟต์แวร์และการพัฒนาเชิงประยุกต์  หน่วยกิตน้อยสุด : 12</t>
  </si>
  <si>
    <t>กลุ่มวิทยาการข้อมูล  หน่วยกิตน้อยสุด : 12</t>
  </si>
  <si>
    <t>เอกเลือกจากรายวิชาที่กำหนดให้   หน่วยกิตน้อยสุด : 6</t>
  </si>
  <si>
    <t>สหกิจศึกษา หรือโครงงานนักศึกษา หน่วยกิต : 6</t>
  </si>
  <si>
    <t>C</t>
  </si>
  <si>
    <t>ผศ.วิไลพร</t>
  </si>
  <si>
    <t>B</t>
  </si>
  <si>
    <t>C+</t>
  </si>
  <si>
    <t>ดร.ปิยวัจน</t>
  </si>
  <si>
    <t>A</t>
  </si>
  <si>
    <t>ดร.วรรณสิร</t>
  </si>
  <si>
    <t>B+</t>
  </si>
  <si>
    <t>อ.เรวด</t>
  </si>
  <si>
    <t>ผศ.ตรีรัตน</t>
  </si>
  <si>
    <t>D+</t>
  </si>
  <si>
    <t>อ.คุณาวุฒ</t>
  </si>
  <si>
    <t xml:space="preserve"> อ.ภาณุพันธ</t>
  </si>
  <si>
    <t>อ.สุณิสา</t>
  </si>
  <si>
    <t>อ.รัชชัช</t>
  </si>
  <si>
    <t>ดร.จุฬาวด</t>
  </si>
  <si>
    <t>อ.โศภิดา</t>
  </si>
  <si>
    <t>D</t>
  </si>
  <si>
    <t>อ.พิชญานิน</t>
  </si>
  <si>
    <t>I</t>
  </si>
  <si>
    <t>F</t>
  </si>
  <si>
    <t>ผศ.ปัจจัย</t>
  </si>
  <si>
    <t>W</t>
  </si>
  <si>
    <t>AE01403</t>
  </si>
  <si>
    <t>ศิลปะสร้างสรรค์ขั้นพื้นฐาน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</si>
</sst>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4"/>
      <color theme="1"/>
      <name val="TH Sarabun New"/>
      <family val="2"/>
      <charset val="222"/>
    </font>
    <font>
      <sz val="14"/>
      <color theme="1"/>
      <name val="TH Sarabun New"/>
      <family val="2"/>
      <charset val="222"/>
    </font>
    <font>
      <b/>
      <sz val="14"/>
      <color theme="0"/>
      <name val="TH Sarabun New"/>
      <family val="2"/>
    </font>
    <font>
      <b/>
      <sz val="14"/>
      <color theme="1"/>
      <name val="TH Sarabun New"/>
      <family val="2"/>
    </font>
    <font>
      <i/>
      <sz val="14"/>
      <color theme="1"/>
      <name val="TH Sarabun New"/>
      <family val="2"/>
    </font>
    <font>
      <b/>
      <sz val="16"/>
      <color theme="1"/>
      <name val="TH Sarabun New"/>
      <family val="2"/>
    </font>
    <font>
      <sz val="14"/>
      <name val="TH Sarabun New"/>
      <family val="2"/>
      <charset val="222"/>
    </font>
    <font>
      <sz val="12"/>
      <color theme="1"/>
      <name val="Sarabun"/>
    </font>
    <font>
      <sz val="14"/>
      <color theme="1"/>
      <name val="Sarabun"/>
    </font>
    <font>
      <sz val="14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theme="1"/>
      <name val="Sarabun"/>
    </font>
    <font>
      <sz val="9"/>
      <color theme="1"/>
      <name val="3(2-2-5)"/>
      <charset val="222"/>
    </font>
    <font>
      <sz val="10"/>
      <color theme="1"/>
      <name val="TH Sarabun New"/>
      <charset val="222"/>
    </font>
    <font>
      <sz val="10"/>
      <color theme="1"/>
      <name val="TH Sarabun New"/>
      <family val="2"/>
      <charset val="222"/>
    </font>
    <font>
      <sz val="12"/>
      <color theme="1"/>
      <name val="Arial"/>
      <family val="2"/>
    </font>
    <font>
      <sz val="12"/>
      <color theme="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2" fillId="5" borderId="0" xfId="0" applyFont="1" applyFill="1"/>
    <xf numFmtId="0" fontId="0" fillId="6" borderId="0" xfId="0" applyFill="1"/>
    <xf numFmtId="0" fontId="0" fillId="6" borderId="0" xfId="0" applyFill="1" applyAlignment="1">
      <alignment shrinkToFit="1"/>
    </xf>
    <xf numFmtId="0" fontId="0" fillId="0" borderId="1" xfId="0" applyBorder="1"/>
    <xf numFmtId="0" fontId="0" fillId="0" borderId="1" xfId="0" applyBorder="1" applyAlignment="1">
      <alignment shrinkToFit="1"/>
    </xf>
    <xf numFmtId="0" fontId="0" fillId="4" borderId="0" xfId="0" applyFill="1"/>
    <xf numFmtId="0" fontId="0" fillId="4" borderId="0" xfId="0" applyFill="1" applyAlignment="1">
      <alignment shrinkToFit="1"/>
    </xf>
    <xf numFmtId="0" fontId="2" fillId="5" borderId="0" xfId="0" applyFont="1" applyFill="1" applyAlignment="1">
      <alignment shrinkToFit="1"/>
    </xf>
    <xf numFmtId="0" fontId="3" fillId="3" borderId="0" xfId="0" applyFont="1" applyFill="1"/>
    <xf numFmtId="0" fontId="3" fillId="3" borderId="0" xfId="0" applyFont="1" applyFill="1" applyAlignment="1">
      <alignment shrinkToFit="1"/>
    </xf>
    <xf numFmtId="0" fontId="4" fillId="6" borderId="0" xfId="0" applyFont="1" applyFill="1"/>
    <xf numFmtId="0" fontId="3" fillId="7" borderId="1" xfId="0" applyFont="1" applyFill="1" applyBorder="1" applyAlignment="1">
      <alignment shrinkToFit="1"/>
    </xf>
    <xf numFmtId="0" fontId="3" fillId="7" borderId="1" xfId="0" applyFont="1" applyFill="1" applyBorder="1" applyAlignment="1">
      <alignment horizontal="center" shrinkToFit="1"/>
    </xf>
    <xf numFmtId="0" fontId="6" fillId="0" borderId="0" xfId="0" applyFont="1"/>
    <xf numFmtId="0" fontId="6" fillId="8" borderId="1" xfId="0" applyFont="1" applyFill="1" applyBorder="1"/>
    <xf numFmtId="0" fontId="0" fillId="9" borderId="4" xfId="0" applyFill="1" applyBorder="1"/>
    <xf numFmtId="0" fontId="7" fillId="0" borderId="5" xfId="0" applyFont="1" applyBorder="1"/>
    <xf numFmtId="0" fontId="8" fillId="0" borderId="5" xfId="0" applyFont="1" applyBorder="1"/>
    <xf numFmtId="0" fontId="9" fillId="0" borderId="0" xfId="0" applyFont="1"/>
    <xf numFmtId="0" fontId="10" fillId="0" borderId="0" xfId="0" applyFont="1"/>
    <xf numFmtId="0" fontId="11" fillId="0" borderId="5" xfId="0" applyFont="1" applyBorder="1"/>
    <xf numFmtId="0" fontId="8" fillId="0" borderId="5" xfId="0" applyFont="1" applyBorder="1" applyAlignment="1">
      <alignment shrinkToFi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6" borderId="0" xfId="1" applyFont="1" applyFill="1" applyAlignment="1">
      <alignment horizontal="center"/>
    </xf>
    <xf numFmtId="0" fontId="3" fillId="7" borderId="2" xfId="0" applyFont="1" applyFill="1" applyBorder="1" applyAlignment="1">
      <alignment horizontal="center" vertical="center" shrinkToFit="1"/>
    </xf>
    <xf numFmtId="0" fontId="3" fillId="7" borderId="3" xfId="0" applyFont="1" applyFill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shrinkToFit="1"/>
    </xf>
    <xf numFmtId="0" fontId="15" fillId="0" borderId="0" xfId="0" applyFont="1"/>
    <xf numFmtId="0" fontId="16" fillId="0" borderId="0" xfId="0" applyFont="1"/>
  </cellXfs>
  <cellStyles count="2">
    <cellStyle name="60% - ส่วนที่ถูกเน้น1" xfId="1" builtinId="32"/>
    <cellStyle name="ปกติ" xfId="0" builtinId="0"/>
  </cellStyles>
  <dxfs count="3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"/>
  <sheetViews>
    <sheetView tabSelected="1" zoomScaleNormal="100" workbookViewId="0">
      <pane ySplit="4" topLeftCell="A65" activePane="bottomLeft" state="frozen"/>
      <selection activeCell="D1" sqref="D1"/>
      <selection pane="bottomLeft" activeCell="E75" sqref="E75"/>
    </sheetView>
  </sheetViews>
  <sheetFormatPr defaultRowHeight="21"/>
  <cols>
    <col min="1" max="1" width="8.77734375" customWidth="1"/>
    <col min="2" max="2" width="31.6640625" customWidth="1"/>
    <col min="3" max="3" width="6" customWidth="1"/>
    <col min="4" max="5" width="6.21875" customWidth="1"/>
    <col min="6" max="6" width="4.33203125" bestFit="1" customWidth="1"/>
    <col min="7" max="7" width="11.109375" customWidth="1"/>
    <col min="8" max="8" width="27" customWidth="1"/>
  </cols>
  <sheetData>
    <row r="1" spans="1:11" ht="24.6">
      <c r="A1" s="26" t="s">
        <v>326</v>
      </c>
      <c r="B1" s="26"/>
      <c r="C1" s="26"/>
      <c r="D1" s="26"/>
      <c r="E1" s="26"/>
      <c r="F1" s="26"/>
      <c r="G1" s="26"/>
      <c r="H1" s="26"/>
    </row>
    <row r="2" spans="1:11" ht="13.2" customHeight="1"/>
    <row r="3" spans="1:11">
      <c r="A3" s="27" t="s">
        <v>3</v>
      </c>
      <c r="B3" s="27" t="s">
        <v>4</v>
      </c>
      <c r="C3" s="27" t="s">
        <v>5</v>
      </c>
      <c r="D3" s="29" t="s">
        <v>321</v>
      </c>
      <c r="E3" s="29"/>
      <c r="F3" s="27" t="s">
        <v>318</v>
      </c>
      <c r="G3" s="27" t="s">
        <v>323</v>
      </c>
      <c r="H3" s="27" t="s">
        <v>319</v>
      </c>
    </row>
    <row r="4" spans="1:11">
      <c r="A4" s="28"/>
      <c r="B4" s="28"/>
      <c r="C4" s="28"/>
      <c r="D4" s="13" t="s">
        <v>320</v>
      </c>
      <c r="E4" s="13" t="s">
        <v>322</v>
      </c>
      <c r="F4" s="28"/>
      <c r="G4" s="28"/>
      <c r="H4" s="28"/>
      <c r="I4" s="14" t="s">
        <v>389</v>
      </c>
      <c r="J4" s="14"/>
      <c r="K4" s="14"/>
    </row>
    <row r="5" spans="1:11">
      <c r="A5" s="1" t="s">
        <v>327</v>
      </c>
      <c r="B5" s="1"/>
      <c r="C5" s="8"/>
      <c r="D5" s="1"/>
      <c r="E5" s="1"/>
      <c r="F5" s="1"/>
      <c r="G5" s="1"/>
      <c r="H5" s="1"/>
      <c r="I5" s="15">
        <f>IF(J5&gt;0,ROUND(K5/J5,2),"")</f>
        <v>1.3</v>
      </c>
      <c r="J5" s="15">
        <f>SUM(J6:J120)</f>
        <v>60</v>
      </c>
      <c r="K5" s="15">
        <f>SUM(K6:K120)</f>
        <v>78</v>
      </c>
    </row>
    <row r="6" spans="1:11">
      <c r="A6" s="4" t="s">
        <v>328</v>
      </c>
      <c r="B6" s="5" t="s">
        <v>329</v>
      </c>
      <c r="C6" s="5" t="s">
        <v>330</v>
      </c>
      <c r="D6" s="17">
        <v>2568</v>
      </c>
      <c r="E6" s="18">
        <v>1</v>
      </c>
      <c r="F6" s="19"/>
      <c r="G6" s="20"/>
      <c r="H6" s="4"/>
      <c r="I6" s="16" t="str">
        <f>IF(F6="","",IF(F6="A",4,IF(F6="B+",3.5,IF(F6="B",3,IF(F6="C+",2.5,IF(F6="C",2,IF(F6="D+",1.5,IF(F6="D",1,IF(F6="F",0,IF(F6="S","เทียบโอน",""))))))))))</f>
        <v/>
      </c>
      <c r="J6" s="16" t="str">
        <f>IF(OR(F6="",F6="S",F6="s",F6="I"),"",_xlfn.NUMBERVALUE(LEFT(C6,1)))</f>
        <v/>
      </c>
      <c r="K6" s="16" t="str">
        <f>IF(OR(I6="",J6=""),"",I6*J6)</f>
        <v/>
      </c>
    </row>
    <row r="7" spans="1:11">
      <c r="A7" s="4" t="s">
        <v>331</v>
      </c>
      <c r="B7" s="5" t="s">
        <v>337</v>
      </c>
      <c r="C7" s="5" t="s">
        <v>330</v>
      </c>
      <c r="D7" s="17">
        <v>2567</v>
      </c>
      <c r="E7" s="18">
        <v>1</v>
      </c>
      <c r="F7" s="19" t="s">
        <v>521</v>
      </c>
      <c r="G7" s="24" t="s">
        <v>514</v>
      </c>
      <c r="H7" s="4"/>
      <c r="I7" s="16">
        <f t="shared" ref="I7:I70" si="0">IF(F7="","",IF(F7="A",4,IF(F7="B+",3.5,IF(F7="B",3,IF(F7="C+",2.5,IF(F7="C",2,IF(F7="D+",1.5,IF(F7="D",1,IF(F7="F",0,IF(F7="S","เทียบโอน",""))))))))))</f>
        <v>0</v>
      </c>
      <c r="J7" s="16">
        <f>IF(OR(F7="",F7="S",F7="s"),"",VALUE(LEFT(C7,1)))</f>
        <v>6</v>
      </c>
      <c r="K7" s="16">
        <f t="shared" ref="K7" si="1">IF(OR(I7="",J7=""),"",I7*J7)</f>
        <v>0</v>
      </c>
    </row>
    <row r="8" spans="1:11">
      <c r="A8" s="4" t="s">
        <v>332</v>
      </c>
      <c r="B8" s="5" t="s">
        <v>338</v>
      </c>
      <c r="C8" s="5" t="s">
        <v>330</v>
      </c>
      <c r="D8" s="17">
        <v>2566</v>
      </c>
      <c r="E8" s="18">
        <v>1</v>
      </c>
      <c r="F8" s="19" t="s">
        <v>501</v>
      </c>
      <c r="G8" s="20" t="s">
        <v>515</v>
      </c>
      <c r="H8" s="4"/>
      <c r="I8" s="16">
        <f t="shared" si="0"/>
        <v>2</v>
      </c>
      <c r="J8" s="16">
        <f>IF(OR(F8="",F8="S",F8="s"),"",VALUE(LEFT(C8,1)))</f>
        <v>6</v>
      </c>
      <c r="K8" s="16">
        <f t="shared" ref="K8:K71" si="2">IF(OR(I8="",J8=""),"",I8*J8)</f>
        <v>12</v>
      </c>
    </row>
    <row r="9" spans="1:11">
      <c r="A9" s="4" t="s">
        <v>333</v>
      </c>
      <c r="B9" s="5" t="s">
        <v>339</v>
      </c>
      <c r="C9" s="5" t="s">
        <v>83</v>
      </c>
      <c r="D9" s="17">
        <v>2566</v>
      </c>
      <c r="E9" s="18">
        <v>2</v>
      </c>
      <c r="F9" s="19" t="s">
        <v>520</v>
      </c>
      <c r="G9" s="20" t="s">
        <v>516</v>
      </c>
      <c r="H9" s="4"/>
      <c r="I9" s="16" t="str">
        <f t="shared" si="0"/>
        <v/>
      </c>
      <c r="J9" s="16">
        <f>IF(OR(F9="",F9="S",F9="s"),"",VALUE(LEFT(C9,1)))</f>
        <v>3</v>
      </c>
      <c r="K9" s="16" t="str">
        <f t="shared" si="2"/>
        <v/>
      </c>
    </row>
    <row r="10" spans="1:11">
      <c r="A10" s="4" t="s">
        <v>334</v>
      </c>
      <c r="B10" s="5" t="s">
        <v>90</v>
      </c>
      <c r="C10" s="5" t="s">
        <v>83</v>
      </c>
      <c r="D10" s="17">
        <v>2567</v>
      </c>
      <c r="E10" s="18">
        <v>2</v>
      </c>
      <c r="F10" s="19"/>
      <c r="G10" s="20"/>
      <c r="H10" s="4"/>
      <c r="I10" s="16" t="str">
        <f t="shared" si="0"/>
        <v/>
      </c>
      <c r="J10" s="16" t="str">
        <f t="shared" ref="J10:J71" si="3">IF(OR(F10="",F10="S",F10="s"),"",_xlfn.NUMBERVALUE(LEFT(C10,1)))</f>
        <v/>
      </c>
      <c r="K10" s="16" t="str">
        <f t="shared" si="2"/>
        <v/>
      </c>
    </row>
    <row r="11" spans="1:11">
      <c r="A11" s="4" t="s">
        <v>335</v>
      </c>
      <c r="B11" s="5" t="s">
        <v>340</v>
      </c>
      <c r="C11" s="5" t="s">
        <v>83</v>
      </c>
      <c r="D11" s="17">
        <v>2567</v>
      </c>
      <c r="E11" s="18">
        <v>2</v>
      </c>
      <c r="F11" s="19"/>
      <c r="G11" s="20"/>
      <c r="H11" s="4"/>
      <c r="I11" s="16" t="str">
        <f t="shared" si="0"/>
        <v/>
      </c>
      <c r="J11" s="16" t="str">
        <f t="shared" si="3"/>
        <v/>
      </c>
      <c r="K11" s="16" t="str">
        <f t="shared" si="2"/>
        <v/>
      </c>
    </row>
    <row r="12" spans="1:11">
      <c r="A12" s="4" t="s">
        <v>336</v>
      </c>
      <c r="B12" s="5" t="s">
        <v>341</v>
      </c>
      <c r="C12" s="5" t="s">
        <v>83</v>
      </c>
      <c r="D12" s="17">
        <v>2566</v>
      </c>
      <c r="E12" s="18">
        <v>2</v>
      </c>
      <c r="F12" s="19" t="s">
        <v>501</v>
      </c>
      <c r="G12" s="20" t="s">
        <v>517</v>
      </c>
      <c r="H12" s="4"/>
      <c r="I12" s="16">
        <f t="shared" si="0"/>
        <v>2</v>
      </c>
      <c r="J12" s="16">
        <f>IF(OR(F12="",F12="S",F12="s"),"",VALUE(LEFT(C12,1)))</f>
        <v>3</v>
      </c>
      <c r="K12" s="16">
        <f t="shared" si="2"/>
        <v>6</v>
      </c>
    </row>
    <row r="13" spans="1:11">
      <c r="A13" s="1" t="s">
        <v>342</v>
      </c>
      <c r="B13" s="1"/>
      <c r="C13" s="8"/>
      <c r="D13" s="1"/>
      <c r="E13" s="1"/>
      <c r="F13" s="1"/>
      <c r="G13" s="1"/>
      <c r="H13" s="1"/>
      <c r="I13" s="16" t="str">
        <f t="shared" si="0"/>
        <v/>
      </c>
      <c r="J13" s="16" t="str">
        <f t="shared" si="3"/>
        <v/>
      </c>
      <c r="K13" s="16" t="str">
        <f t="shared" si="2"/>
        <v/>
      </c>
    </row>
    <row r="14" spans="1:11">
      <c r="A14" s="9" t="s">
        <v>110</v>
      </c>
      <c r="B14" s="10"/>
      <c r="C14" s="10"/>
      <c r="D14" s="9"/>
      <c r="E14" s="9"/>
      <c r="F14" s="9"/>
      <c r="G14" s="9"/>
      <c r="H14" s="9"/>
      <c r="I14" s="16" t="str">
        <f t="shared" si="0"/>
        <v/>
      </c>
      <c r="J14" s="16" t="str">
        <f t="shared" si="3"/>
        <v/>
      </c>
      <c r="K14" s="16" t="str">
        <f t="shared" si="2"/>
        <v/>
      </c>
    </row>
    <row r="15" spans="1:11">
      <c r="A15" s="4" t="s">
        <v>343</v>
      </c>
      <c r="B15" s="5" t="s">
        <v>112</v>
      </c>
      <c r="C15" s="5" t="s">
        <v>17</v>
      </c>
      <c r="D15" s="17">
        <v>2568</v>
      </c>
      <c r="E15" s="18">
        <v>2</v>
      </c>
      <c r="F15" s="18"/>
      <c r="G15" s="21"/>
      <c r="H15" s="4"/>
      <c r="I15" s="16" t="str">
        <f t="shared" si="0"/>
        <v/>
      </c>
      <c r="J15" s="16" t="str">
        <f t="shared" si="3"/>
        <v/>
      </c>
      <c r="K15" s="16" t="str">
        <f t="shared" si="2"/>
        <v/>
      </c>
    </row>
    <row r="16" spans="1:11">
      <c r="A16" s="4" t="s">
        <v>344</v>
      </c>
      <c r="B16" s="5" t="s">
        <v>115</v>
      </c>
      <c r="C16" s="5" t="s">
        <v>17</v>
      </c>
      <c r="D16" s="17">
        <v>2566</v>
      </c>
      <c r="E16" s="18">
        <v>1</v>
      </c>
      <c r="F16" s="19" t="s">
        <v>506</v>
      </c>
      <c r="G16" s="20" t="s">
        <v>519</v>
      </c>
      <c r="H16" s="4"/>
      <c r="I16" s="16">
        <f t="shared" si="0"/>
        <v>4</v>
      </c>
      <c r="J16" s="16">
        <f>IF(OR(F16="",F16="S",F16="s"),"",VALUE(LEFT(C16,1)))</f>
        <v>3</v>
      </c>
      <c r="K16" s="16">
        <f t="shared" si="2"/>
        <v>12</v>
      </c>
    </row>
    <row r="17" spans="1:11">
      <c r="A17" s="4" t="s">
        <v>120</v>
      </c>
      <c r="B17" s="5" t="s">
        <v>121</v>
      </c>
      <c r="C17" s="5" t="s">
        <v>83</v>
      </c>
      <c r="D17" s="17">
        <v>2566</v>
      </c>
      <c r="E17" s="18">
        <v>1</v>
      </c>
      <c r="F17" s="19" t="s">
        <v>511</v>
      </c>
      <c r="G17" s="20" t="s">
        <v>502</v>
      </c>
      <c r="H17" s="4"/>
      <c r="I17" s="16">
        <f t="shared" si="0"/>
        <v>1.5</v>
      </c>
      <c r="J17" s="16">
        <f>IF(OR(F17="",F17="S",F17="s"),"",VALUE(LEFT(C17,1)))</f>
        <v>3</v>
      </c>
      <c r="K17" s="16">
        <f t="shared" si="2"/>
        <v>4.5</v>
      </c>
    </row>
    <row r="18" spans="1:11">
      <c r="A18" s="4" t="s">
        <v>345</v>
      </c>
      <c r="B18" s="5" t="s">
        <v>346</v>
      </c>
      <c r="C18" s="5" t="s">
        <v>83</v>
      </c>
      <c r="D18" s="17">
        <v>2568</v>
      </c>
      <c r="E18" s="18">
        <v>2</v>
      </c>
      <c r="F18" s="18"/>
      <c r="G18" s="21"/>
      <c r="H18" s="4"/>
      <c r="I18" s="16" t="str">
        <f t="shared" si="0"/>
        <v/>
      </c>
      <c r="J18" s="16" t="str">
        <f t="shared" si="3"/>
        <v/>
      </c>
      <c r="K18" s="16" t="str">
        <f t="shared" si="2"/>
        <v/>
      </c>
    </row>
    <row r="19" spans="1:11">
      <c r="A19" s="4" t="s">
        <v>123</v>
      </c>
      <c r="B19" s="5" t="s">
        <v>124</v>
      </c>
      <c r="C19" s="5" t="s">
        <v>17</v>
      </c>
      <c r="D19" s="17">
        <v>2568</v>
      </c>
      <c r="E19" s="18">
        <v>1</v>
      </c>
      <c r="F19" s="19" t="s">
        <v>521</v>
      </c>
      <c r="G19" s="20" t="s">
        <v>522</v>
      </c>
      <c r="H19" s="4"/>
      <c r="I19" s="16">
        <f t="shared" si="0"/>
        <v>0</v>
      </c>
      <c r="J19" s="16">
        <f>IF(OR(F19="",F19="S",F19="s"),"",VALUE(LEFT(C19,1)))</f>
        <v>3</v>
      </c>
      <c r="K19" s="16">
        <f t="shared" si="2"/>
        <v>0</v>
      </c>
    </row>
    <row r="20" spans="1:11">
      <c r="A20" s="4" t="s">
        <v>347</v>
      </c>
      <c r="B20" s="5" t="s">
        <v>348</v>
      </c>
      <c r="C20" s="5" t="s">
        <v>83</v>
      </c>
      <c r="D20" s="17">
        <v>2568</v>
      </c>
      <c r="E20" s="18">
        <v>2</v>
      </c>
      <c r="F20" s="18"/>
      <c r="G20" s="21"/>
      <c r="H20" s="4"/>
      <c r="I20" s="16" t="str">
        <f t="shared" si="0"/>
        <v/>
      </c>
      <c r="J20" s="16" t="str">
        <f t="shared" si="3"/>
        <v/>
      </c>
      <c r="K20" s="16" t="str">
        <f t="shared" si="2"/>
        <v/>
      </c>
    </row>
    <row r="21" spans="1:11">
      <c r="A21" s="9" t="s">
        <v>349</v>
      </c>
      <c r="B21" s="10"/>
      <c r="C21" s="10"/>
      <c r="D21" s="9"/>
      <c r="E21" s="9"/>
      <c r="F21" s="9"/>
      <c r="G21" s="9"/>
      <c r="H21" s="9"/>
      <c r="I21" s="16" t="str">
        <f t="shared" si="0"/>
        <v/>
      </c>
      <c r="J21" s="16" t="str">
        <f t="shared" si="3"/>
        <v/>
      </c>
      <c r="K21" s="16" t="str">
        <f t="shared" si="2"/>
        <v/>
      </c>
    </row>
    <row r="22" spans="1:11">
      <c r="A22" s="6" t="s">
        <v>355</v>
      </c>
      <c r="B22" s="7"/>
      <c r="C22" s="7"/>
      <c r="D22" s="6"/>
      <c r="E22" s="6"/>
      <c r="F22" s="6"/>
      <c r="G22" s="6"/>
      <c r="H22" s="6"/>
      <c r="I22" s="16" t="str">
        <f t="shared" si="0"/>
        <v/>
      </c>
      <c r="J22" s="16" t="str">
        <f t="shared" si="3"/>
        <v/>
      </c>
      <c r="K22" s="16" t="str">
        <f t="shared" si="2"/>
        <v/>
      </c>
    </row>
    <row r="23" spans="1:11">
      <c r="A23" s="4" t="s">
        <v>177</v>
      </c>
      <c r="B23" s="5" t="s">
        <v>350</v>
      </c>
      <c r="C23" s="5" t="s">
        <v>83</v>
      </c>
      <c r="D23" s="17">
        <v>2567</v>
      </c>
      <c r="E23" s="18">
        <v>1</v>
      </c>
      <c r="F23" s="19" t="s">
        <v>503</v>
      </c>
      <c r="G23" s="20" t="s">
        <v>502</v>
      </c>
      <c r="H23" s="4"/>
      <c r="I23" s="16">
        <f t="shared" si="0"/>
        <v>3</v>
      </c>
      <c r="J23" s="16">
        <f>IF(OR(F23="",F23="S",F23="s"),"",VALUE(LEFT(C23,1)))</f>
        <v>3</v>
      </c>
      <c r="K23" s="16">
        <f t="shared" si="2"/>
        <v>9</v>
      </c>
    </row>
    <row r="24" spans="1:11">
      <c r="A24" s="4" t="s">
        <v>180</v>
      </c>
      <c r="B24" s="5" t="s">
        <v>351</v>
      </c>
      <c r="C24" s="5" t="s">
        <v>83</v>
      </c>
      <c r="D24" s="30">
        <v>2566</v>
      </c>
      <c r="E24" s="18">
        <v>2</v>
      </c>
      <c r="F24" s="18"/>
      <c r="G24" s="21"/>
      <c r="H24" s="4"/>
      <c r="I24" s="16" t="str">
        <f t="shared" si="0"/>
        <v/>
      </c>
      <c r="J24" s="16" t="str">
        <f>IF(OR(F24="",F24="S",F24="s"),"",RVALUE(LEFT(C24,1)))</f>
        <v/>
      </c>
      <c r="K24" s="16" t="str">
        <f t="shared" si="2"/>
        <v/>
      </c>
    </row>
    <row r="25" spans="1:11">
      <c r="A25" s="4" t="s">
        <v>184</v>
      </c>
      <c r="B25" s="5" t="s">
        <v>352</v>
      </c>
      <c r="C25" s="5" t="s">
        <v>83</v>
      </c>
      <c r="D25" s="17">
        <v>2567</v>
      </c>
      <c r="E25" s="18">
        <v>2</v>
      </c>
      <c r="F25" s="19" t="s">
        <v>504</v>
      </c>
      <c r="G25" s="20" t="s">
        <v>505</v>
      </c>
      <c r="H25" s="4"/>
      <c r="I25" s="16">
        <f t="shared" si="0"/>
        <v>2.5</v>
      </c>
      <c r="J25" s="16">
        <f>IF(OR(F25="",F25="S",F25="s"),"",VALUE(LEFT(C25,1)))</f>
        <v>3</v>
      </c>
      <c r="K25" s="16">
        <f t="shared" si="2"/>
        <v>7.5</v>
      </c>
    </row>
    <row r="26" spans="1:11">
      <c r="A26" s="4" t="s">
        <v>190</v>
      </c>
      <c r="B26" s="5" t="s">
        <v>191</v>
      </c>
      <c r="C26" s="5" t="s">
        <v>183</v>
      </c>
      <c r="D26" s="17">
        <v>2568</v>
      </c>
      <c r="E26" s="18">
        <v>2</v>
      </c>
      <c r="F26" s="18"/>
      <c r="G26" s="21"/>
      <c r="H26" s="4"/>
      <c r="I26" s="16" t="str">
        <f t="shared" si="0"/>
        <v/>
      </c>
      <c r="J26" s="16" t="str">
        <f>IF(OR(F26="",F26="S",F26="s"),"",VALUE(LEFT(C26,1)))</f>
        <v/>
      </c>
      <c r="K26" s="16" t="str">
        <f t="shared" si="2"/>
        <v/>
      </c>
    </row>
    <row r="27" spans="1:11">
      <c r="A27" s="4" t="s">
        <v>130</v>
      </c>
      <c r="B27" s="5" t="s">
        <v>131</v>
      </c>
      <c r="C27" s="5" t="s">
        <v>353</v>
      </c>
      <c r="D27" s="17">
        <v>2568</v>
      </c>
      <c r="E27" s="18">
        <v>2</v>
      </c>
      <c r="F27" s="18"/>
      <c r="G27" s="21"/>
      <c r="H27" s="4"/>
      <c r="I27" s="16" t="str">
        <f t="shared" si="0"/>
        <v/>
      </c>
      <c r="J27" s="16" t="str">
        <f>IF(OR(F27="",F27="S",F27="s"),"",VALUE(LEFT(C27,1)))</f>
        <v/>
      </c>
      <c r="K27" s="16" t="str">
        <f t="shared" si="2"/>
        <v/>
      </c>
    </row>
    <row r="28" spans="1:11">
      <c r="A28" s="6" t="s">
        <v>354</v>
      </c>
      <c r="B28" s="7"/>
      <c r="C28" s="7"/>
      <c r="D28" s="6"/>
      <c r="E28" s="6"/>
      <c r="F28" s="6"/>
      <c r="G28" s="6"/>
      <c r="H28" s="6"/>
      <c r="I28" s="16" t="str">
        <f t="shared" si="0"/>
        <v/>
      </c>
      <c r="J28" s="16" t="str">
        <f>IF(OR(F28="",F28="S",F28="s"),"",VALUE(LEFT(C28,1)))</f>
        <v/>
      </c>
      <c r="K28" s="16" t="str">
        <f t="shared" si="2"/>
        <v/>
      </c>
    </row>
    <row r="29" spans="1:11">
      <c r="A29" s="4" t="s">
        <v>193</v>
      </c>
      <c r="B29" s="5" t="s">
        <v>194</v>
      </c>
      <c r="C29" s="5" t="s">
        <v>83</v>
      </c>
      <c r="D29" s="17">
        <v>2566</v>
      </c>
      <c r="E29" s="18">
        <v>1</v>
      </c>
      <c r="F29" s="19" t="s">
        <v>518</v>
      </c>
      <c r="G29" s="20" t="s">
        <v>507</v>
      </c>
      <c r="H29" s="4"/>
      <c r="I29" s="16">
        <f t="shared" si="0"/>
        <v>1</v>
      </c>
      <c r="J29" s="16">
        <f>IF(OR(F29="",F29="S",F29="s"),"",VALUE(LEFT(C29,1)))</f>
        <v>3</v>
      </c>
      <c r="K29" s="16">
        <f t="shared" si="2"/>
        <v>3</v>
      </c>
    </row>
    <row r="30" spans="1:11">
      <c r="A30" s="4" t="s">
        <v>196</v>
      </c>
      <c r="B30" s="5" t="s">
        <v>197</v>
      </c>
      <c r="C30" s="5" t="s">
        <v>83</v>
      </c>
      <c r="D30" s="17">
        <v>2567</v>
      </c>
      <c r="E30" s="18">
        <v>1</v>
      </c>
      <c r="F30" s="19" t="s">
        <v>523</v>
      </c>
      <c r="G30" s="25" t="s">
        <v>505</v>
      </c>
      <c r="H30" s="4"/>
      <c r="I30" s="16" t="str">
        <f t="shared" si="0"/>
        <v/>
      </c>
      <c r="J30" s="16">
        <f>IF(OR(F30="",F30="S",F30="s"),"",VALUE(LEFT(C30,1)))</f>
        <v>3</v>
      </c>
      <c r="K30" s="16" t="str">
        <f t="shared" si="2"/>
        <v/>
      </c>
    </row>
    <row r="31" spans="1:11">
      <c r="A31" s="4" t="s">
        <v>199</v>
      </c>
      <c r="B31" s="5" t="s">
        <v>356</v>
      </c>
      <c r="C31" s="5" t="s">
        <v>83</v>
      </c>
      <c r="D31" s="17">
        <v>2567</v>
      </c>
      <c r="E31" s="18">
        <v>2</v>
      </c>
      <c r="F31" s="19" t="s">
        <v>521</v>
      </c>
      <c r="G31" s="20"/>
      <c r="H31" s="4"/>
      <c r="I31" s="16">
        <f t="shared" si="0"/>
        <v>0</v>
      </c>
      <c r="J31" s="16">
        <f>IF(OR(F31="",F31="S",F31="s"),"",VALUE(LEFT(C31,1)))</f>
        <v>3</v>
      </c>
      <c r="K31" s="16">
        <f t="shared" si="2"/>
        <v>0</v>
      </c>
    </row>
    <row r="32" spans="1:11">
      <c r="A32" s="4" t="s">
        <v>202</v>
      </c>
      <c r="B32" s="5" t="s">
        <v>357</v>
      </c>
      <c r="C32" s="5" t="s">
        <v>83</v>
      </c>
      <c r="D32" s="17">
        <v>2567</v>
      </c>
      <c r="E32" s="18">
        <v>2</v>
      </c>
      <c r="F32" s="18"/>
      <c r="G32" s="20"/>
      <c r="H32" s="4"/>
      <c r="I32" s="16" t="str">
        <f t="shared" si="0"/>
        <v/>
      </c>
      <c r="J32" s="16" t="str">
        <f>IF(OR(F32="",F32="S",F32="s"),"",VALUE(LEFT(C32,1)))</f>
        <v/>
      </c>
      <c r="K32" s="16" t="str">
        <f t="shared" si="2"/>
        <v/>
      </c>
    </row>
    <row r="33" spans="1:11">
      <c r="A33" s="4" t="s">
        <v>205</v>
      </c>
      <c r="B33" s="5" t="s">
        <v>206</v>
      </c>
      <c r="C33" s="5" t="s">
        <v>388</v>
      </c>
      <c r="D33" s="17">
        <v>2568</v>
      </c>
      <c r="E33" s="18">
        <v>2</v>
      </c>
      <c r="F33" s="18"/>
      <c r="G33" s="21"/>
      <c r="H33" s="4"/>
      <c r="I33" s="16" t="str">
        <f t="shared" si="0"/>
        <v/>
      </c>
      <c r="J33" s="16" t="str">
        <f>IF(OR(F33="",F33="S",F33="s"),"",VALUE(LEFT(C33,1)))</f>
        <v/>
      </c>
      <c r="K33" s="16" t="str">
        <f t="shared" si="2"/>
        <v/>
      </c>
    </row>
    <row r="34" spans="1:11">
      <c r="A34" s="4" t="s">
        <v>230</v>
      </c>
      <c r="B34" s="5" t="s">
        <v>231</v>
      </c>
      <c r="C34" s="5" t="s">
        <v>83</v>
      </c>
      <c r="D34" s="17">
        <v>2566</v>
      </c>
      <c r="E34" s="18">
        <v>2</v>
      </c>
      <c r="F34" s="19" t="s">
        <v>518</v>
      </c>
      <c r="G34" s="20" t="s">
        <v>509</v>
      </c>
      <c r="H34" s="4"/>
      <c r="I34" s="16">
        <f t="shared" si="0"/>
        <v>1</v>
      </c>
      <c r="J34" s="16">
        <f>IF(OR(F34="",F34="S",F34="s"),"",VALUE(LEFT(C34,1)))</f>
        <v>3</v>
      </c>
      <c r="K34" s="16">
        <f t="shared" si="2"/>
        <v>3</v>
      </c>
    </row>
    <row r="35" spans="1:11">
      <c r="A35" s="4" t="s">
        <v>215</v>
      </c>
      <c r="B35" s="5" t="s">
        <v>216</v>
      </c>
      <c r="C35" s="5" t="s">
        <v>83</v>
      </c>
      <c r="D35" s="17">
        <v>2567</v>
      </c>
      <c r="E35" s="18">
        <v>1</v>
      </c>
      <c r="F35" s="19" t="s">
        <v>521</v>
      </c>
      <c r="G35" s="20" t="s">
        <v>509</v>
      </c>
      <c r="H35" s="4"/>
      <c r="I35" s="16">
        <f t="shared" si="0"/>
        <v>0</v>
      </c>
      <c r="J35" s="16">
        <f>IF(OR(F35="",F35="S",F35="s"),"",VALUE(LEFT(C35,1)))</f>
        <v>3</v>
      </c>
      <c r="K35" s="16">
        <f t="shared" si="2"/>
        <v>0</v>
      </c>
    </row>
    <row r="36" spans="1:11">
      <c r="A36" s="6" t="s">
        <v>314</v>
      </c>
      <c r="B36" s="7"/>
      <c r="C36" s="7"/>
      <c r="D36" s="6"/>
      <c r="E36" s="6"/>
      <c r="F36" s="6"/>
      <c r="G36" s="6"/>
      <c r="H36" s="6"/>
      <c r="I36" s="16" t="str">
        <f t="shared" si="0"/>
        <v/>
      </c>
      <c r="J36" s="16" t="str">
        <f>IF(OR(F36="",F36="S",F36="s"),"",VALUE(LEFT(C36,1)))</f>
        <v/>
      </c>
      <c r="K36" s="16" t="str">
        <f t="shared" si="2"/>
        <v/>
      </c>
    </row>
    <row r="37" spans="1:11">
      <c r="A37" s="4" t="s">
        <v>218</v>
      </c>
      <c r="B37" s="5" t="s">
        <v>219</v>
      </c>
      <c r="C37" s="5" t="s">
        <v>83</v>
      </c>
      <c r="D37" s="17">
        <v>2568</v>
      </c>
      <c r="E37" s="18">
        <v>1</v>
      </c>
      <c r="F37" s="19"/>
      <c r="G37" s="20"/>
      <c r="H37" s="4"/>
      <c r="I37" s="16" t="str">
        <f t="shared" si="0"/>
        <v/>
      </c>
      <c r="J37" s="16" t="str">
        <f>IF(OR(F37="",F37="S",F37="s"),"",VALUE(LEFT(C37,1)))</f>
        <v/>
      </c>
      <c r="K37" s="16" t="str">
        <f t="shared" si="2"/>
        <v/>
      </c>
    </row>
    <row r="38" spans="1:11">
      <c r="A38" s="4" t="s">
        <v>221</v>
      </c>
      <c r="B38" s="5" t="s">
        <v>222</v>
      </c>
      <c r="C38" s="5" t="s">
        <v>83</v>
      </c>
      <c r="D38" s="17">
        <v>2567</v>
      </c>
      <c r="E38" s="18">
        <v>2</v>
      </c>
      <c r="F38" s="19"/>
      <c r="G38" s="20"/>
      <c r="H38" s="4"/>
      <c r="I38" s="16" t="str">
        <f t="shared" si="0"/>
        <v/>
      </c>
      <c r="J38" s="16" t="str">
        <f>IF(OR(F38="",F38="S",F38="s"),"",VALUE(LEFT(C38,1)))</f>
        <v/>
      </c>
      <c r="K38" s="16" t="str">
        <f t="shared" si="2"/>
        <v/>
      </c>
    </row>
    <row r="39" spans="1:11">
      <c r="A39" s="4" t="s">
        <v>224</v>
      </c>
      <c r="B39" s="5" t="s">
        <v>225</v>
      </c>
      <c r="C39" s="5" t="s">
        <v>83</v>
      </c>
      <c r="D39" s="17">
        <v>2567</v>
      </c>
      <c r="E39" s="18">
        <v>1</v>
      </c>
      <c r="F39" s="19" t="s">
        <v>518</v>
      </c>
      <c r="G39" s="20" t="s">
        <v>510</v>
      </c>
      <c r="H39" s="4"/>
      <c r="I39" s="16">
        <f t="shared" si="0"/>
        <v>1</v>
      </c>
      <c r="J39" s="16">
        <f>IF(OR(F39="",F39="S",F39="s"),"",VALUE(LEFT(C39,1)))</f>
        <v>3</v>
      </c>
      <c r="K39" s="16">
        <f t="shared" si="2"/>
        <v>3</v>
      </c>
    </row>
    <row r="40" spans="1:11">
      <c r="A40" s="4" t="s">
        <v>227</v>
      </c>
      <c r="B40" s="5" t="s">
        <v>358</v>
      </c>
      <c r="C40" s="5" t="s">
        <v>83</v>
      </c>
      <c r="D40" s="17">
        <v>2568</v>
      </c>
      <c r="E40" s="18">
        <v>1</v>
      </c>
      <c r="F40" s="19"/>
      <c r="G40" s="20"/>
      <c r="H40" s="4"/>
      <c r="I40" s="16" t="str">
        <f t="shared" si="0"/>
        <v/>
      </c>
      <c r="J40" s="16" t="str">
        <f>IF(OR(F40="",F40="S",F40="s"),"",VALUE(LEFT(C40,1)))</f>
        <v/>
      </c>
      <c r="K40" s="16" t="str">
        <f t="shared" si="2"/>
        <v/>
      </c>
    </row>
    <row r="41" spans="1:11">
      <c r="A41" s="6" t="s">
        <v>359</v>
      </c>
      <c r="B41" s="7"/>
      <c r="C41" s="7"/>
      <c r="D41" s="6"/>
      <c r="E41" s="6"/>
      <c r="F41" s="6"/>
      <c r="G41" s="6"/>
      <c r="H41" s="6"/>
      <c r="I41" s="16" t="str">
        <f t="shared" si="0"/>
        <v/>
      </c>
      <c r="J41" s="16" t="str">
        <f>IF(OR(F41="",F41="S",F41="s"),"",VALUE(LEFT(C41,1)))</f>
        <v/>
      </c>
      <c r="K41" s="16" t="str">
        <f t="shared" si="2"/>
        <v/>
      </c>
    </row>
    <row r="42" spans="1:11">
      <c r="A42" s="4" t="s">
        <v>233</v>
      </c>
      <c r="B42" s="5" t="s">
        <v>234</v>
      </c>
      <c r="C42" s="5" t="s">
        <v>83</v>
      </c>
      <c r="D42" s="17">
        <v>2567</v>
      </c>
      <c r="E42" s="18">
        <v>2</v>
      </c>
      <c r="F42" s="19"/>
      <c r="G42" s="20"/>
      <c r="H42" s="4"/>
      <c r="I42" s="16" t="str">
        <f t="shared" si="0"/>
        <v/>
      </c>
      <c r="J42" s="16" t="str">
        <f>IF(OR(F42="",F42="S",F42="s"),"",VALUE(LEFT(C42,1)))</f>
        <v/>
      </c>
      <c r="K42" s="16" t="str">
        <f t="shared" si="2"/>
        <v/>
      </c>
    </row>
    <row r="43" spans="1:11">
      <c r="A43" s="4" t="s">
        <v>236</v>
      </c>
      <c r="B43" s="5" t="s">
        <v>360</v>
      </c>
      <c r="C43" s="5" t="s">
        <v>83</v>
      </c>
      <c r="D43" s="17">
        <v>2566</v>
      </c>
      <c r="E43" s="18">
        <v>2</v>
      </c>
      <c r="F43" s="19" t="s">
        <v>521</v>
      </c>
      <c r="G43" s="20" t="s">
        <v>512</v>
      </c>
      <c r="H43" s="4"/>
      <c r="I43" s="16">
        <f t="shared" si="0"/>
        <v>0</v>
      </c>
      <c r="J43" s="16">
        <f>IF(OR(F43="",F43="S",F43="s"),"",VALUE(LEFT(C43,1)))</f>
        <v>3</v>
      </c>
      <c r="K43" s="16">
        <f t="shared" si="2"/>
        <v>0</v>
      </c>
    </row>
    <row r="44" spans="1:11">
      <c r="A44" s="9" t="s">
        <v>239</v>
      </c>
      <c r="B44" s="10"/>
      <c r="C44" s="10"/>
      <c r="D44" s="9"/>
      <c r="E44" s="9"/>
      <c r="F44" s="9"/>
      <c r="G44" s="9"/>
      <c r="H44" s="9" t="s">
        <v>324</v>
      </c>
      <c r="I44" s="16" t="str">
        <f t="shared" si="0"/>
        <v/>
      </c>
      <c r="J44" s="16" t="str">
        <f>IF(OR(F44="",F44="S",F44="s"),"",VALUE(LEFT(C44,1)))</f>
        <v/>
      </c>
      <c r="K44" s="16" t="str">
        <f t="shared" si="2"/>
        <v/>
      </c>
    </row>
    <row r="45" spans="1:11">
      <c r="A45" s="11" t="s">
        <v>367</v>
      </c>
      <c r="B45" s="3"/>
      <c r="C45" s="3"/>
      <c r="D45" s="2"/>
      <c r="E45" s="2"/>
      <c r="F45" s="2"/>
      <c r="G45" s="2"/>
      <c r="H45" s="2"/>
      <c r="I45" s="16" t="str">
        <f t="shared" si="0"/>
        <v/>
      </c>
      <c r="J45" s="16" t="str">
        <f>IF(OR(F45="",F45="S",F45="s"),"",VALUE(LEFT(C45,1)))</f>
        <v/>
      </c>
      <c r="K45" s="16" t="str">
        <f t="shared" si="2"/>
        <v/>
      </c>
    </row>
    <row r="46" spans="1:11">
      <c r="A46" s="4" t="s">
        <v>240</v>
      </c>
      <c r="B46" s="5" t="s">
        <v>241</v>
      </c>
      <c r="C46" s="5" t="s">
        <v>83</v>
      </c>
      <c r="D46" s="4">
        <v>2568</v>
      </c>
      <c r="E46" s="4">
        <v>1</v>
      </c>
      <c r="F46" s="4"/>
      <c r="G46" s="4"/>
      <c r="H46" s="4"/>
      <c r="I46" s="16" t="str">
        <f t="shared" si="0"/>
        <v/>
      </c>
      <c r="J46" s="16" t="str">
        <f>IF(OR(F46="",F46="S",F46="s"),"",VALUE(LEFT(C46,1)))</f>
        <v/>
      </c>
      <c r="K46" s="16" t="str">
        <f t="shared" si="2"/>
        <v/>
      </c>
    </row>
    <row r="47" spans="1:11">
      <c r="A47" s="4" t="s">
        <v>243</v>
      </c>
      <c r="B47" s="5" t="s">
        <v>364</v>
      </c>
      <c r="C47" s="5" t="s">
        <v>83</v>
      </c>
      <c r="D47" s="4">
        <v>2568</v>
      </c>
      <c r="E47" s="4">
        <v>2</v>
      </c>
      <c r="F47" s="4"/>
      <c r="G47" s="4"/>
      <c r="H47" s="4"/>
      <c r="I47" s="16" t="str">
        <f t="shared" si="0"/>
        <v/>
      </c>
      <c r="J47" s="16" t="str">
        <f>IF(OR(F47="",F47="S",F47="s"),"",VALUE(LEFT(C47,1)))</f>
        <v/>
      </c>
      <c r="K47" s="16" t="str">
        <f t="shared" si="2"/>
        <v/>
      </c>
    </row>
    <row r="48" spans="1:11">
      <c r="A48" s="4" t="s">
        <v>246</v>
      </c>
      <c r="B48" s="5" t="s">
        <v>247</v>
      </c>
      <c r="C48" s="5" t="s">
        <v>83</v>
      </c>
      <c r="D48" s="4"/>
      <c r="E48" s="4"/>
      <c r="F48" s="4"/>
      <c r="G48" s="4"/>
      <c r="H48" s="4"/>
      <c r="I48" s="16" t="str">
        <f t="shared" si="0"/>
        <v/>
      </c>
      <c r="J48" s="16" t="str">
        <f>IF(OR(F48="",F48="S",F48="s"),"",VALUE(LEFT(C48,1)))</f>
        <v/>
      </c>
      <c r="K48" s="16" t="str">
        <f t="shared" si="2"/>
        <v/>
      </c>
    </row>
    <row r="49" spans="1:11">
      <c r="A49" s="4" t="s">
        <v>365</v>
      </c>
      <c r="B49" s="5" t="s">
        <v>366</v>
      </c>
      <c r="C49" s="5" t="s">
        <v>83</v>
      </c>
      <c r="D49" s="4">
        <v>2568</v>
      </c>
      <c r="E49" s="4">
        <v>2</v>
      </c>
      <c r="F49" s="4"/>
      <c r="G49" s="4"/>
      <c r="H49" s="4"/>
      <c r="I49" s="16" t="str">
        <f t="shared" si="0"/>
        <v/>
      </c>
      <c r="J49" s="16" t="str">
        <f>IF(OR(F49="",F49="S",F49="s"),"",VALUE(LEFT(C49,1)))</f>
        <v/>
      </c>
      <c r="K49" s="16" t="str">
        <f t="shared" si="2"/>
        <v/>
      </c>
    </row>
    <row r="50" spans="1:11">
      <c r="A50" s="11" t="s">
        <v>361</v>
      </c>
      <c r="B50" s="3"/>
      <c r="C50" s="3"/>
      <c r="D50" s="2"/>
      <c r="E50" s="2"/>
      <c r="F50" s="2"/>
      <c r="G50" s="2"/>
      <c r="H50" s="2"/>
      <c r="I50" s="16" t="str">
        <f t="shared" si="0"/>
        <v/>
      </c>
      <c r="J50" s="16" t="str">
        <f>IF(OR(F50="",F50="S",F50="s"),"",VALUE(LEFT(C50,1)))</f>
        <v/>
      </c>
      <c r="K50" s="16" t="str">
        <f t="shared" si="2"/>
        <v/>
      </c>
    </row>
    <row r="51" spans="1:11">
      <c r="A51" s="4" t="s">
        <v>266</v>
      </c>
      <c r="B51" s="5" t="s">
        <v>362</v>
      </c>
      <c r="C51" s="5" t="s">
        <v>83</v>
      </c>
      <c r="D51" s="17"/>
      <c r="E51" s="18"/>
      <c r="F51" s="18"/>
      <c r="G51" s="21"/>
      <c r="H51" s="4"/>
      <c r="I51" s="16" t="str">
        <f t="shared" si="0"/>
        <v/>
      </c>
      <c r="J51" s="16" t="str">
        <f>IF(OR(F51="",F51="S",F51="s"),"",VALUE(LEFT(C51,1)))</f>
        <v/>
      </c>
      <c r="K51" s="16" t="str">
        <f t="shared" si="2"/>
        <v/>
      </c>
    </row>
    <row r="52" spans="1:11">
      <c r="A52" s="4" t="s">
        <v>269</v>
      </c>
      <c r="B52" s="5" t="s">
        <v>363</v>
      </c>
      <c r="C52" s="5" t="s">
        <v>83</v>
      </c>
      <c r="D52" s="17"/>
      <c r="E52" s="18"/>
      <c r="F52" s="19"/>
      <c r="G52" s="20"/>
      <c r="H52" s="4"/>
      <c r="I52" s="16" t="str">
        <f t="shared" si="0"/>
        <v/>
      </c>
      <c r="J52" s="16" t="str">
        <f>IF(OR(F52="",F52="S",F52="s"),"",VALUE(LEFT(C52,1)))</f>
        <v/>
      </c>
      <c r="K52" s="16" t="str">
        <f t="shared" si="2"/>
        <v/>
      </c>
    </row>
    <row r="53" spans="1:11">
      <c r="A53" s="4" t="s">
        <v>272</v>
      </c>
      <c r="B53" s="5" t="s">
        <v>273</v>
      </c>
      <c r="C53" s="5" t="s">
        <v>83</v>
      </c>
      <c r="D53" s="17"/>
      <c r="E53" s="18"/>
      <c r="F53" s="18"/>
      <c r="G53" s="21"/>
      <c r="H53" s="4"/>
      <c r="I53" s="16" t="str">
        <f t="shared" si="0"/>
        <v/>
      </c>
      <c r="J53" s="16" t="str">
        <f>IF(OR(F53="",F53="S",F53="s"),"",VALUE(LEFT(C53,1)))</f>
        <v/>
      </c>
      <c r="K53" s="16" t="str">
        <f t="shared" si="2"/>
        <v/>
      </c>
    </row>
    <row r="54" spans="1:11">
      <c r="A54" s="4" t="s">
        <v>275</v>
      </c>
      <c r="B54" s="5" t="s">
        <v>276</v>
      </c>
      <c r="C54" s="5" t="s">
        <v>83</v>
      </c>
      <c r="D54" s="17"/>
      <c r="E54" s="18"/>
      <c r="F54" s="18"/>
      <c r="G54" s="21"/>
      <c r="H54" s="4"/>
      <c r="I54" s="16" t="str">
        <f t="shared" si="0"/>
        <v/>
      </c>
      <c r="J54" s="16" t="str">
        <f>IF(OR(F54="",F54="S",F54="s"),"",VALUE(LEFT(C54,1)))</f>
        <v/>
      </c>
      <c r="K54" s="16" t="str">
        <f t="shared" si="2"/>
        <v/>
      </c>
    </row>
    <row r="55" spans="1:11">
      <c r="A55" s="9" t="s">
        <v>139</v>
      </c>
      <c r="B55" s="10"/>
      <c r="C55" s="10"/>
      <c r="D55" s="9"/>
      <c r="E55" s="9"/>
      <c r="F55" s="9"/>
      <c r="G55" s="9"/>
      <c r="H55" s="9"/>
      <c r="I55" s="16" t="str">
        <f t="shared" si="0"/>
        <v/>
      </c>
      <c r="J55" s="16" t="str">
        <f>IF(OR(F55="",F55="S",F55="s"),"",VALUE(LEFT(C55,1)))</f>
        <v/>
      </c>
      <c r="K55" s="16" t="str">
        <f t="shared" si="2"/>
        <v/>
      </c>
    </row>
    <row r="56" spans="1:11">
      <c r="A56" s="4" t="s">
        <v>368</v>
      </c>
      <c r="B56" s="5" t="s">
        <v>369</v>
      </c>
      <c r="C56" s="5" t="s">
        <v>83</v>
      </c>
      <c r="D56" s="17">
        <v>2566</v>
      </c>
      <c r="E56" s="18">
        <v>2</v>
      </c>
      <c r="F56" s="19" t="s">
        <v>504</v>
      </c>
      <c r="G56" s="21" t="s">
        <v>513</v>
      </c>
      <c r="H56" s="4"/>
      <c r="I56" s="16">
        <f t="shared" si="0"/>
        <v>2.5</v>
      </c>
      <c r="J56" s="16">
        <f>IF(OR(F56="",F56="S",F56="s"),"",VALUE(LEFT(C56,1)))</f>
        <v>3</v>
      </c>
      <c r="K56" s="16">
        <f t="shared" si="2"/>
        <v>7.5</v>
      </c>
    </row>
    <row r="57" spans="1:11">
      <c r="A57" s="4" t="s">
        <v>158</v>
      </c>
      <c r="B57" s="5" t="s">
        <v>370</v>
      </c>
      <c r="C57" s="5" t="s">
        <v>83</v>
      </c>
      <c r="D57" s="4"/>
      <c r="E57" s="4"/>
      <c r="F57" s="4"/>
      <c r="G57" s="4"/>
      <c r="H57" s="4"/>
      <c r="I57" s="16" t="str">
        <f t="shared" si="0"/>
        <v/>
      </c>
      <c r="J57" s="16" t="str">
        <f>IF(OR(F57="",F57="S",F57="s"),"",VALUE(LEFT(C57,1)))</f>
        <v/>
      </c>
      <c r="K57" s="16" t="str">
        <f t="shared" si="2"/>
        <v/>
      </c>
    </row>
    <row r="58" spans="1:11">
      <c r="A58" s="4" t="s">
        <v>377</v>
      </c>
      <c r="B58" s="5" t="s">
        <v>371</v>
      </c>
      <c r="C58" s="5" t="s">
        <v>83</v>
      </c>
      <c r="D58" s="4"/>
      <c r="E58" s="4"/>
      <c r="F58" s="4"/>
      <c r="G58" s="4"/>
      <c r="H58" s="4"/>
      <c r="I58" s="16" t="str">
        <f t="shared" si="0"/>
        <v/>
      </c>
      <c r="J58" s="16" t="str">
        <f>IF(OR(F58="",F58="S",F58="s"),"",VALUE(LEFT(C58,1)))</f>
        <v/>
      </c>
      <c r="K58" s="16" t="str">
        <f t="shared" si="2"/>
        <v/>
      </c>
    </row>
    <row r="59" spans="1:11">
      <c r="A59" s="4" t="s">
        <v>378</v>
      </c>
      <c r="B59" s="5" t="s">
        <v>372</v>
      </c>
      <c r="C59" s="5" t="s">
        <v>83</v>
      </c>
      <c r="D59" s="4"/>
      <c r="E59" s="4"/>
      <c r="F59" s="4"/>
      <c r="G59" s="4"/>
      <c r="H59" s="4"/>
      <c r="I59" s="16" t="str">
        <f t="shared" si="0"/>
        <v/>
      </c>
      <c r="J59" s="16" t="str">
        <f>IF(OR(F59="",F59="S",F59="s"),"",VALUE(LEFT(C59,1)))</f>
        <v/>
      </c>
      <c r="K59" s="16" t="str">
        <f t="shared" si="2"/>
        <v/>
      </c>
    </row>
    <row r="60" spans="1:11">
      <c r="A60" s="4" t="s">
        <v>164</v>
      </c>
      <c r="B60" s="5" t="s">
        <v>165</v>
      </c>
      <c r="C60" s="5" t="s">
        <v>83</v>
      </c>
      <c r="D60" s="4"/>
      <c r="E60" s="4"/>
      <c r="F60" s="4"/>
      <c r="G60" s="4"/>
      <c r="H60" s="4"/>
      <c r="I60" s="16" t="str">
        <f t="shared" si="0"/>
        <v/>
      </c>
      <c r="J60" s="16" t="str">
        <f>IF(OR(F60="",F60="S",F60="s"),"",VALUE(LEFT(C60,1)))</f>
        <v/>
      </c>
      <c r="K60" s="16" t="str">
        <f t="shared" si="2"/>
        <v/>
      </c>
    </row>
    <row r="61" spans="1:11">
      <c r="A61" s="4" t="s">
        <v>379</v>
      </c>
      <c r="B61" s="5" t="s">
        <v>373</v>
      </c>
      <c r="C61" s="5" t="s">
        <v>83</v>
      </c>
      <c r="D61" s="4"/>
      <c r="E61" s="4"/>
      <c r="F61" s="4"/>
      <c r="G61" s="4"/>
      <c r="H61" s="4"/>
      <c r="I61" s="16" t="str">
        <f t="shared" si="0"/>
        <v/>
      </c>
      <c r="J61" s="16" t="str">
        <f>IF(OR(F61="",F61="S",F61="s"),"",VALUE(LEFT(C61,1)))</f>
        <v/>
      </c>
      <c r="K61" s="16" t="str">
        <f t="shared" si="2"/>
        <v/>
      </c>
    </row>
    <row r="62" spans="1:11">
      <c r="A62" s="4" t="s">
        <v>380</v>
      </c>
      <c r="B62" s="5" t="s">
        <v>374</v>
      </c>
      <c r="C62" s="5" t="s">
        <v>83</v>
      </c>
      <c r="D62" s="4"/>
      <c r="E62" s="4"/>
      <c r="F62" s="4"/>
      <c r="G62" s="4"/>
      <c r="H62" s="4"/>
      <c r="I62" s="16" t="str">
        <f t="shared" si="0"/>
        <v/>
      </c>
      <c r="J62" s="16" t="str">
        <f>IF(OR(F62="",F62="S",F62="s"),"",VALUE(LEFT(C62,1)))</f>
        <v/>
      </c>
      <c r="K62" s="16" t="str">
        <f t="shared" si="2"/>
        <v/>
      </c>
    </row>
    <row r="63" spans="1:11">
      <c r="A63" s="4" t="s">
        <v>381</v>
      </c>
      <c r="B63" s="5" t="s">
        <v>375</v>
      </c>
      <c r="C63" s="5" t="s">
        <v>83</v>
      </c>
      <c r="D63" s="4"/>
      <c r="E63" s="4"/>
      <c r="F63" s="4"/>
      <c r="G63" s="4"/>
      <c r="H63" s="4"/>
      <c r="I63" s="16" t="str">
        <f t="shared" si="0"/>
        <v/>
      </c>
      <c r="J63" s="16" t="str">
        <f>IF(OR(F63="",F63="S",F63="s"),"",VALUE(LEFT(C63,1)))</f>
        <v/>
      </c>
      <c r="K63" s="16" t="str">
        <f t="shared" si="2"/>
        <v/>
      </c>
    </row>
    <row r="64" spans="1:11">
      <c r="A64" s="4" t="s">
        <v>382</v>
      </c>
      <c r="B64" s="5" t="s">
        <v>376</v>
      </c>
      <c r="C64" s="5" t="s">
        <v>17</v>
      </c>
      <c r="D64" s="4"/>
      <c r="E64" s="4"/>
      <c r="F64" s="4"/>
      <c r="G64" s="4"/>
      <c r="H64" s="4"/>
      <c r="I64" s="16" t="str">
        <f t="shared" si="0"/>
        <v/>
      </c>
      <c r="J64" s="16" t="str">
        <f>IF(OR(F64="",F64="S",F64="s"),"",VALUE(LEFT(C64,1)))</f>
        <v/>
      </c>
      <c r="K64" s="16" t="str">
        <f t="shared" si="2"/>
        <v/>
      </c>
    </row>
    <row r="65" spans="1:11">
      <c r="A65" s="4" t="s">
        <v>173</v>
      </c>
      <c r="B65" s="5" t="s">
        <v>174</v>
      </c>
      <c r="C65" s="5" t="s">
        <v>83</v>
      </c>
      <c r="D65" s="4"/>
      <c r="E65" s="4"/>
      <c r="F65" s="4"/>
      <c r="G65" s="4"/>
      <c r="H65" s="4"/>
      <c r="I65" s="16" t="str">
        <f t="shared" si="0"/>
        <v/>
      </c>
      <c r="J65" s="16" t="str">
        <f>IF(OR(F65="",F65="S",F65="s"),"",VALUE(LEFT(C65,1)))</f>
        <v/>
      </c>
      <c r="K65" s="16" t="str">
        <f t="shared" si="2"/>
        <v/>
      </c>
    </row>
    <row r="66" spans="1:11">
      <c r="A66" s="9" t="s">
        <v>383</v>
      </c>
      <c r="B66" s="10"/>
      <c r="C66" s="10"/>
      <c r="D66" s="9"/>
      <c r="E66" s="9"/>
      <c r="F66" s="9"/>
      <c r="G66" s="9"/>
      <c r="H66" s="9" t="s">
        <v>324</v>
      </c>
      <c r="I66" s="16" t="str">
        <f t="shared" si="0"/>
        <v/>
      </c>
      <c r="J66" s="16" t="str">
        <f>IF(OR(F66="",F66="S",F66="s"),"",VALUE(LEFT(C66,1)))</f>
        <v/>
      </c>
      <c r="K66" s="16" t="str">
        <f t="shared" si="2"/>
        <v/>
      </c>
    </row>
    <row r="67" spans="1:11">
      <c r="A67" s="11" t="s">
        <v>384</v>
      </c>
      <c r="B67" s="3"/>
      <c r="C67" s="3"/>
      <c r="D67" s="2"/>
      <c r="E67" s="2"/>
      <c r="F67" s="2"/>
      <c r="G67" s="2"/>
      <c r="H67" s="2"/>
      <c r="I67" s="16" t="str">
        <f t="shared" si="0"/>
        <v/>
      </c>
      <c r="J67" s="16" t="str">
        <f>IF(OR(F67="",F67="S",F67="s"),"",VALUE(LEFT(C67,1)))</f>
        <v/>
      </c>
      <c r="K67" s="16" t="str">
        <f t="shared" si="2"/>
        <v/>
      </c>
    </row>
    <row r="68" spans="1:11">
      <c r="A68" s="4" t="s">
        <v>208</v>
      </c>
      <c r="B68" s="5" t="s">
        <v>209</v>
      </c>
      <c r="C68" s="5" t="s">
        <v>211</v>
      </c>
      <c r="D68" s="4"/>
      <c r="E68" s="4"/>
      <c r="F68" s="4"/>
      <c r="G68" s="4"/>
      <c r="H68" s="4"/>
      <c r="I68" s="16" t="str">
        <f t="shared" si="0"/>
        <v/>
      </c>
      <c r="J68" s="16" t="str">
        <f>IF(OR(F68="",F68="S",F68="s"),"",VALUE(LEFT(C68,1)))</f>
        <v/>
      </c>
      <c r="K68" s="16" t="str">
        <f t="shared" si="2"/>
        <v/>
      </c>
    </row>
    <row r="69" spans="1:11">
      <c r="A69" s="4" t="s">
        <v>212</v>
      </c>
      <c r="B69" s="5" t="s">
        <v>213</v>
      </c>
      <c r="C69" s="5" t="s">
        <v>211</v>
      </c>
      <c r="D69" s="4"/>
      <c r="E69" s="4"/>
      <c r="F69" s="4"/>
      <c r="G69" s="4"/>
      <c r="H69" s="4"/>
      <c r="I69" s="16" t="str">
        <f t="shared" si="0"/>
        <v/>
      </c>
      <c r="J69" s="16" t="str">
        <f>IF(OR(F69="",F69="S",F69="s"),"",VALUE(LEFT(C69,1)))</f>
        <v/>
      </c>
      <c r="K69" s="16" t="str">
        <f t="shared" si="2"/>
        <v/>
      </c>
    </row>
    <row r="70" spans="1:11">
      <c r="A70" s="11" t="s">
        <v>385</v>
      </c>
      <c r="B70" s="3"/>
      <c r="C70" s="3"/>
      <c r="D70" s="2"/>
      <c r="E70" s="2"/>
      <c r="F70" s="2"/>
      <c r="G70" s="2"/>
      <c r="H70" s="2"/>
      <c r="I70" s="16" t="str">
        <f t="shared" si="0"/>
        <v/>
      </c>
      <c r="J70" s="16" t="str">
        <f>IF(OR(F70="",F70="S",F70="s"),"",VALUE(LEFT(C70,1)))</f>
        <v/>
      </c>
      <c r="K70" s="16" t="str">
        <f t="shared" si="2"/>
        <v/>
      </c>
    </row>
    <row r="71" spans="1:11">
      <c r="A71" s="4" t="s">
        <v>386</v>
      </c>
      <c r="B71" s="5" t="s">
        <v>136</v>
      </c>
      <c r="C71" s="5" t="s">
        <v>387</v>
      </c>
      <c r="D71" s="4"/>
      <c r="E71" s="4"/>
      <c r="F71" s="4"/>
      <c r="G71" s="4"/>
      <c r="H71" s="4"/>
      <c r="I71" s="16" t="str">
        <f t="shared" ref="I71:I75" si="4">IF(F71="","",IF(F71="A",4,IF(F71="B+",3.5,IF(F71="B",3,IF(F71="C+",2.5,IF(F71="C",2,IF(F71="D+",1.5,IF(F71="D",1,IF(F71="F",0,IF(F71="S","เทียบโอน",""))))))))))</f>
        <v/>
      </c>
      <c r="J71" s="16" t="str">
        <f>IF(OR(F71="",F71="S",F71="s"),"",VALUE(LEFT(C71,1)))</f>
        <v/>
      </c>
      <c r="K71" s="16" t="str">
        <f t="shared" si="2"/>
        <v/>
      </c>
    </row>
    <row r="72" spans="1:11">
      <c r="A72" s="1" t="s">
        <v>278</v>
      </c>
      <c r="B72" s="1"/>
      <c r="C72" s="8"/>
      <c r="D72" s="1"/>
      <c r="E72" s="1"/>
      <c r="F72" s="1"/>
      <c r="G72" s="1"/>
      <c r="H72" s="1"/>
      <c r="I72" s="16" t="str">
        <f t="shared" si="4"/>
        <v/>
      </c>
      <c r="J72" s="16" t="str">
        <f>IF(OR(F72="",F72="S",F72="s"),"",VALUE(LEFT(C72,1)))</f>
        <v/>
      </c>
      <c r="K72" s="16" t="str">
        <f t="shared" ref="K72:K75" si="5">IF(OR(I72="",J72=""),"",I72*J72)</f>
        <v/>
      </c>
    </row>
    <row r="73" spans="1:11">
      <c r="A73" s="19" t="s">
        <v>482</v>
      </c>
      <c r="B73" s="22" t="s">
        <v>481</v>
      </c>
      <c r="C73" s="23" t="s">
        <v>83</v>
      </c>
      <c r="D73" s="17">
        <v>2567</v>
      </c>
      <c r="E73" s="18">
        <v>1</v>
      </c>
      <c r="F73" s="19" t="s">
        <v>508</v>
      </c>
      <c r="G73" s="20" t="s">
        <v>510</v>
      </c>
      <c r="H73" s="4"/>
      <c r="I73" s="16">
        <f t="shared" si="4"/>
        <v>3.5</v>
      </c>
      <c r="J73" s="16">
        <f>IF(OR(F73="",F73="S",F73="s"),"",VALUE(LEFT(C73,1)))</f>
        <v>3</v>
      </c>
      <c r="K73" s="16">
        <f t="shared" si="5"/>
        <v>10.5</v>
      </c>
    </row>
    <row r="74" spans="1:11">
      <c r="A74" s="31" t="s">
        <v>524</v>
      </c>
      <c r="B74" s="19" t="s">
        <v>525</v>
      </c>
      <c r="C74" s="23" t="s">
        <v>83</v>
      </c>
      <c r="D74" s="17">
        <v>2567</v>
      </c>
      <c r="E74" s="18">
        <v>2</v>
      </c>
      <c r="F74" s="18"/>
      <c r="G74" s="20"/>
      <c r="H74" s="4"/>
      <c r="I74" s="16" t="str">
        <f t="shared" si="4"/>
        <v/>
      </c>
      <c r="J74" s="16" t="str">
        <f>IF(OR(F74="",F74="S",F74="s"),"",VALUE(LEFT(C74,1)))</f>
        <v/>
      </c>
      <c r="K74" s="16" t="str">
        <f t="shared" si="5"/>
        <v/>
      </c>
    </row>
    <row r="75" spans="1:11">
      <c r="A75" s="4"/>
      <c r="B75" s="5"/>
      <c r="C75" s="5"/>
      <c r="D75" s="4"/>
      <c r="E75" s="4"/>
      <c r="F75" s="4"/>
      <c r="G75" s="4"/>
      <c r="H75" s="4"/>
      <c r="I75" s="16" t="str">
        <f t="shared" si="4"/>
        <v/>
      </c>
      <c r="J75" s="16" t="str">
        <f>IF(OR(F75="",F75="S",F75="s"),"",VALUE(LEFT(C75,1)))</f>
        <v/>
      </c>
      <c r="K75" s="16" t="str">
        <f t="shared" si="5"/>
        <v/>
      </c>
    </row>
  </sheetData>
  <mergeCells count="8">
    <mergeCell ref="A1:H1"/>
    <mergeCell ref="H3:H4"/>
    <mergeCell ref="G3:G4"/>
    <mergeCell ref="F3:F4"/>
    <mergeCell ref="C3:C4"/>
    <mergeCell ref="B3:B4"/>
    <mergeCell ref="A3:A4"/>
    <mergeCell ref="D3:E3"/>
  </mergeCells>
  <conditionalFormatting sqref="A7:C12">
    <cfRule type="expression" dxfId="31" priority="21">
      <formula>AND($D7&lt;&gt;"",$E7&lt;&gt;"")</formula>
    </cfRule>
  </conditionalFormatting>
  <conditionalFormatting sqref="A15:C20">
    <cfRule type="expression" dxfId="30" priority="20">
      <formula>AND($D15&lt;&gt;"",$E15&lt;&gt;"")</formula>
    </cfRule>
  </conditionalFormatting>
  <conditionalFormatting sqref="A23:C27">
    <cfRule type="expression" dxfId="29" priority="19">
      <formula>AND($D23&lt;&gt;"",$E23&lt;&gt;"")</formula>
    </cfRule>
  </conditionalFormatting>
  <conditionalFormatting sqref="A29:C35">
    <cfRule type="expression" dxfId="28" priority="18">
      <formula>AND($D29&lt;&gt;"",$E29&lt;&gt;"")</formula>
    </cfRule>
  </conditionalFormatting>
  <conditionalFormatting sqref="A37:C40">
    <cfRule type="expression" dxfId="27" priority="17">
      <formula>AND($D37&lt;&gt;"",$E37&lt;&gt;"")</formula>
    </cfRule>
  </conditionalFormatting>
  <conditionalFormatting sqref="A42:C43">
    <cfRule type="expression" dxfId="26" priority="16">
      <formula>AND($D42&lt;&gt;"",$E42&lt;&gt;"")</formula>
    </cfRule>
  </conditionalFormatting>
  <conditionalFormatting sqref="A51:C54">
    <cfRule type="expression" dxfId="25" priority="14">
      <formula>AND($D51&lt;&gt;"",$E51&lt;&gt;"")</formula>
    </cfRule>
  </conditionalFormatting>
  <conditionalFormatting sqref="A56:C56 A57:G65">
    <cfRule type="expression" dxfId="24" priority="13">
      <formula>AND($D56&lt;&gt;"",$E56&lt;&gt;"")</formula>
    </cfRule>
  </conditionalFormatting>
  <conditionalFormatting sqref="A71:F71">
    <cfRule type="expression" dxfId="23" priority="11">
      <formula>AND($D71&lt;&gt;"",$E71&lt;&gt;"")</formula>
    </cfRule>
  </conditionalFormatting>
  <conditionalFormatting sqref="A75:F75">
    <cfRule type="expression" dxfId="22" priority="10">
      <formula>AND($D75&lt;&gt;"",$E75&lt;&gt;"")</formula>
    </cfRule>
  </conditionalFormatting>
  <conditionalFormatting sqref="A46:G49">
    <cfRule type="expression" dxfId="21" priority="15">
      <formula>AND($D46&lt;&gt;"",$E46&lt;&gt;"")</formula>
    </cfRule>
  </conditionalFormatting>
  <conditionalFormatting sqref="A68:G69">
    <cfRule type="expression" dxfId="20" priority="12">
      <formula>AND($D68&lt;&gt;"",$E68&lt;&gt;"")</formula>
    </cfRule>
  </conditionalFormatting>
  <conditionalFormatting sqref="B73 D73:E73 D74:F74">
    <cfRule type="expression" dxfId="19" priority="1">
      <formula>AND($D73&lt;&gt;"",$E73&lt;&gt;"")</formula>
    </cfRule>
  </conditionalFormatting>
  <conditionalFormatting sqref="D23:E23 E24:G24 D25:E25 D26:G27">
    <cfRule type="expression" dxfId="18" priority="7">
      <formula>AND($D23&lt;&gt;"",$E23&lt;&gt;"")</formula>
    </cfRule>
  </conditionalFormatting>
  <conditionalFormatting sqref="D29:E31 D32:F32 D33:G33 D34:E35">
    <cfRule type="expression" dxfId="17" priority="6">
      <formula>AND($D29&lt;&gt;"",$E29&lt;&gt;"")</formula>
    </cfRule>
  </conditionalFormatting>
  <conditionalFormatting sqref="D37:E40">
    <cfRule type="expression" dxfId="16" priority="5">
      <formula>AND($D37&lt;&gt;"",$E37&lt;&gt;"")</formula>
    </cfRule>
  </conditionalFormatting>
  <conditionalFormatting sqref="D42:E43">
    <cfRule type="expression" dxfId="15" priority="4">
      <formula>AND($D42&lt;&gt;"",$E42&lt;&gt;"")</formula>
    </cfRule>
  </conditionalFormatting>
  <conditionalFormatting sqref="D56:E56 G56">
    <cfRule type="expression" dxfId="14" priority="2">
      <formula>AND($D56&lt;&gt;"",$E56&lt;&gt;"")</formula>
    </cfRule>
  </conditionalFormatting>
  <conditionalFormatting sqref="D15:G15 D16:E17 D18:G18 D19:E19 D20:G20">
    <cfRule type="expression" dxfId="13" priority="8">
      <formula>AND($D15&lt;&gt;"",$E15&lt;&gt;"")</formula>
    </cfRule>
  </conditionalFormatting>
  <conditionalFormatting sqref="D51:G51 D52:E52 D53:G54">
    <cfRule type="expression" dxfId="12" priority="3">
      <formula>AND($D51&lt;&gt;"",$E51&lt;&gt;"")</formula>
    </cfRule>
  </conditionalFormatting>
  <conditionalFormatting sqref="E7 D8:E12">
    <cfRule type="expression" dxfId="11" priority="9">
      <formula>AND($D7&lt;&gt;"",$E7&lt;&gt;"")</formula>
    </cfRule>
  </conditionalFormatting>
  <printOptions horizontalCentered="1"/>
  <pageMargins left="0.39370078740157483" right="0.39370078740157483" top="0.39370078740157483" bottom="0.39370078740157483" header="0.19685039370078741" footer="0.19685039370078741"/>
  <pageSetup paperSize="9" fitToHeight="6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4207-13DA-4630-AB96-2F945EDCB9B1}">
  <sheetPr>
    <pageSetUpPr fitToPage="1"/>
  </sheetPr>
  <dimension ref="A1:K88"/>
  <sheetViews>
    <sheetView zoomScaleNormal="100" workbookViewId="0">
      <pane ySplit="4" topLeftCell="A6" activePane="bottomLeft" state="frozen"/>
      <selection activeCell="D1" sqref="D1"/>
      <selection pane="bottomLeft" activeCell="D6" sqref="D6:G12"/>
    </sheetView>
  </sheetViews>
  <sheetFormatPr defaultRowHeight="21"/>
  <cols>
    <col min="1" max="1" width="8.77734375" customWidth="1"/>
    <col min="2" max="2" width="31.6640625" customWidth="1"/>
    <col min="3" max="3" width="6" customWidth="1"/>
    <col min="4" max="5" width="6.21875" customWidth="1"/>
    <col min="6" max="6" width="4.33203125" bestFit="1" customWidth="1"/>
    <col min="7" max="7" width="11.109375" customWidth="1"/>
    <col min="8" max="8" width="27" customWidth="1"/>
  </cols>
  <sheetData>
    <row r="1" spans="1:11" ht="24.6">
      <c r="A1" s="26" t="s">
        <v>390</v>
      </c>
      <c r="B1" s="26"/>
      <c r="C1" s="26"/>
      <c r="D1" s="26"/>
      <c r="E1" s="26"/>
      <c r="F1" s="26"/>
      <c r="G1" s="26"/>
      <c r="H1" s="26"/>
    </row>
    <row r="2" spans="1:11" ht="13.2" customHeight="1"/>
    <row r="3" spans="1:11">
      <c r="A3" s="27" t="s">
        <v>3</v>
      </c>
      <c r="B3" s="27" t="s">
        <v>4</v>
      </c>
      <c r="C3" s="27" t="s">
        <v>5</v>
      </c>
      <c r="D3" s="29" t="s">
        <v>321</v>
      </c>
      <c r="E3" s="29"/>
      <c r="F3" s="27" t="s">
        <v>318</v>
      </c>
      <c r="G3" s="27" t="s">
        <v>323</v>
      </c>
      <c r="H3" s="27" t="s">
        <v>319</v>
      </c>
    </row>
    <row r="4" spans="1:11">
      <c r="A4" s="28"/>
      <c r="B4" s="28"/>
      <c r="C4" s="28"/>
      <c r="D4" s="13" t="s">
        <v>320</v>
      </c>
      <c r="E4" s="13" t="s">
        <v>322</v>
      </c>
      <c r="F4" s="28"/>
      <c r="G4" s="28"/>
      <c r="H4" s="28"/>
      <c r="I4" s="14" t="s">
        <v>389</v>
      </c>
      <c r="J4" s="14"/>
      <c r="K4" s="14"/>
    </row>
    <row r="5" spans="1:11">
      <c r="A5" s="1" t="s">
        <v>327</v>
      </c>
      <c r="B5" s="1"/>
      <c r="C5" s="8"/>
      <c r="D5" s="1"/>
      <c r="E5" s="1"/>
      <c r="F5" s="1"/>
      <c r="G5" s="1"/>
      <c r="H5" s="1"/>
      <c r="I5" s="15" t="str">
        <f>IF(J5&gt;0,ROUND(K5/J5,2),"")</f>
        <v/>
      </c>
      <c r="J5" s="15">
        <f>SUM(J6:J133)</f>
        <v>0</v>
      </c>
      <c r="K5" s="15">
        <f>SUM(K6:K133)</f>
        <v>0</v>
      </c>
    </row>
    <row r="6" spans="1:11">
      <c r="A6" s="4" t="s">
        <v>328</v>
      </c>
      <c r="B6" s="5" t="s">
        <v>329</v>
      </c>
      <c r="C6" s="5" t="s">
        <v>330</v>
      </c>
      <c r="D6" s="4"/>
      <c r="E6" s="4"/>
      <c r="F6" s="4"/>
      <c r="G6" s="4"/>
      <c r="H6" s="4"/>
      <c r="I6" s="16" t="str">
        <f>IF(F6="","",IF(F6="A",4,IF(F6="B+",3.5,IF(F6="B",3,IF(F6="C+",2.5,IF(F6="C",2,IF(F6="D+",1.5,IF(F6="D",1,IF(F6="F",0,IF(F6="S","เทียบโอน",""))))))))))</f>
        <v/>
      </c>
      <c r="J6" s="16" t="str">
        <f>IF(OR(F6="",F6="S",F6="s",F6="I"),"",_xlfn.NUMBERVALUE(LEFT(C6,1)))</f>
        <v/>
      </c>
      <c r="K6" s="16" t="str">
        <f>IF(OR(I6="",J6=""),"",I6*J6)</f>
        <v/>
      </c>
    </row>
    <row r="7" spans="1:11">
      <c r="A7" s="4" t="s">
        <v>331</v>
      </c>
      <c r="B7" s="5" t="s">
        <v>337</v>
      </c>
      <c r="C7" s="5" t="s">
        <v>330</v>
      </c>
      <c r="D7" s="4"/>
      <c r="E7" s="4"/>
      <c r="F7" s="4"/>
      <c r="G7" s="4"/>
      <c r="H7" s="4"/>
      <c r="I7" s="16" t="str">
        <f t="shared" ref="I7:I70" si="0">IF(F7="","",IF(F7="A",4,IF(F7="B+",3.5,IF(F7="B",3,IF(F7="C+",2.5,IF(F7="C",2,IF(F7="D+",1.5,IF(F7="D",1,IF(F7="F",0,IF(F7="S","เทียบโอน",""))))))))))</f>
        <v/>
      </c>
      <c r="J7" s="16" t="str">
        <f t="shared" ref="J7:J70" si="1">IF(OR(F7="",F7="S",F7="s",F7="I"),"",_xlfn.NUMBERVALUE(LEFT(C7,1)))</f>
        <v/>
      </c>
      <c r="K7" s="16" t="str">
        <f t="shared" ref="K7:K70" si="2">IF(OR(I7="",J7=""),"",I7*J7)</f>
        <v/>
      </c>
    </row>
    <row r="8" spans="1:11">
      <c r="A8" s="4" t="s">
        <v>332</v>
      </c>
      <c r="B8" s="5" t="s">
        <v>338</v>
      </c>
      <c r="C8" s="5" t="s">
        <v>330</v>
      </c>
      <c r="D8" s="4"/>
      <c r="E8" s="4"/>
      <c r="F8" s="4"/>
      <c r="G8" s="4"/>
      <c r="H8" s="4"/>
      <c r="I8" s="16" t="str">
        <f t="shared" si="0"/>
        <v/>
      </c>
      <c r="J8" s="16" t="str">
        <f t="shared" si="1"/>
        <v/>
      </c>
      <c r="K8" s="16" t="str">
        <f t="shared" si="2"/>
        <v/>
      </c>
    </row>
    <row r="9" spans="1:11">
      <c r="A9" s="4" t="s">
        <v>333</v>
      </c>
      <c r="B9" s="5" t="s">
        <v>339</v>
      </c>
      <c r="C9" s="5" t="s">
        <v>83</v>
      </c>
      <c r="D9" s="4"/>
      <c r="E9" s="4"/>
      <c r="F9" s="4"/>
      <c r="G9" s="4"/>
      <c r="H9" s="4"/>
      <c r="I9" s="16" t="str">
        <f t="shared" si="0"/>
        <v/>
      </c>
      <c r="J9" s="16" t="str">
        <f t="shared" si="1"/>
        <v/>
      </c>
      <c r="K9" s="16" t="str">
        <f t="shared" si="2"/>
        <v/>
      </c>
    </row>
    <row r="10" spans="1:11">
      <c r="A10" s="4" t="s">
        <v>334</v>
      </c>
      <c r="B10" s="5" t="s">
        <v>90</v>
      </c>
      <c r="C10" s="5" t="s">
        <v>83</v>
      </c>
      <c r="D10" s="4"/>
      <c r="E10" s="4"/>
      <c r="F10" s="4"/>
      <c r="G10" s="4"/>
      <c r="H10" s="4"/>
      <c r="I10" s="16" t="str">
        <f t="shared" si="0"/>
        <v/>
      </c>
      <c r="J10" s="16" t="str">
        <f t="shared" si="1"/>
        <v/>
      </c>
      <c r="K10" s="16" t="str">
        <f t="shared" si="2"/>
        <v/>
      </c>
    </row>
    <row r="11" spans="1:11">
      <c r="A11" s="4" t="s">
        <v>335</v>
      </c>
      <c r="B11" s="5" t="s">
        <v>340</v>
      </c>
      <c r="C11" s="5" t="s">
        <v>83</v>
      </c>
      <c r="D11" s="4"/>
      <c r="E11" s="4"/>
      <c r="F11" s="4"/>
      <c r="G11" s="4"/>
      <c r="H11" s="4"/>
      <c r="I11" s="16" t="str">
        <f t="shared" si="0"/>
        <v/>
      </c>
      <c r="J11" s="16" t="str">
        <f t="shared" si="1"/>
        <v/>
      </c>
      <c r="K11" s="16" t="str">
        <f t="shared" si="2"/>
        <v/>
      </c>
    </row>
    <row r="12" spans="1:11">
      <c r="A12" s="4" t="s">
        <v>336</v>
      </c>
      <c r="B12" s="5" t="s">
        <v>341</v>
      </c>
      <c r="C12" s="5" t="s">
        <v>83</v>
      </c>
      <c r="D12" s="4"/>
      <c r="E12" s="4"/>
      <c r="F12" s="4"/>
      <c r="G12" s="4"/>
      <c r="H12" s="4"/>
      <c r="I12" s="16" t="str">
        <f t="shared" si="0"/>
        <v/>
      </c>
      <c r="J12" s="16" t="str">
        <f t="shared" si="1"/>
        <v/>
      </c>
      <c r="K12" s="16" t="str">
        <f t="shared" si="2"/>
        <v/>
      </c>
    </row>
    <row r="13" spans="1:11">
      <c r="A13" s="1" t="s">
        <v>342</v>
      </c>
      <c r="B13" s="1"/>
      <c r="C13" s="8"/>
      <c r="D13" s="1"/>
      <c r="E13" s="1"/>
      <c r="F13" s="1"/>
      <c r="G13" s="1"/>
      <c r="H13" s="1"/>
      <c r="I13" s="16" t="str">
        <f t="shared" si="0"/>
        <v/>
      </c>
      <c r="J13" s="16" t="str">
        <f t="shared" si="1"/>
        <v/>
      </c>
      <c r="K13" s="16" t="str">
        <f t="shared" si="2"/>
        <v/>
      </c>
    </row>
    <row r="14" spans="1:11">
      <c r="A14" s="9" t="s">
        <v>110</v>
      </c>
      <c r="B14" s="10"/>
      <c r="C14" s="10"/>
      <c r="D14" s="9"/>
      <c r="E14" s="9"/>
      <c r="F14" s="9"/>
      <c r="G14" s="9"/>
      <c r="H14" s="9"/>
      <c r="I14" s="16" t="str">
        <f t="shared" si="0"/>
        <v/>
      </c>
      <c r="J14" s="16" t="str">
        <f t="shared" si="1"/>
        <v/>
      </c>
      <c r="K14" s="16" t="str">
        <f t="shared" si="2"/>
        <v/>
      </c>
    </row>
    <row r="15" spans="1:11">
      <c r="A15" s="4" t="s">
        <v>432</v>
      </c>
      <c r="B15" s="5" t="s">
        <v>431</v>
      </c>
      <c r="C15" s="5" t="s">
        <v>83</v>
      </c>
      <c r="D15" s="4"/>
      <c r="E15" s="4"/>
      <c r="F15" s="4"/>
      <c r="G15" s="4"/>
      <c r="H15" s="4"/>
      <c r="I15" s="16" t="str">
        <f t="shared" si="0"/>
        <v/>
      </c>
      <c r="J15" s="16" t="str">
        <f t="shared" si="1"/>
        <v/>
      </c>
      <c r="K15" s="16" t="str">
        <f t="shared" si="2"/>
        <v/>
      </c>
    </row>
    <row r="16" spans="1:11">
      <c r="A16" s="4" t="s">
        <v>430</v>
      </c>
      <c r="B16" s="5" t="s">
        <v>429</v>
      </c>
      <c r="C16" s="5" t="s">
        <v>17</v>
      </c>
      <c r="D16" s="4"/>
      <c r="E16" s="4"/>
      <c r="F16" s="4"/>
      <c r="G16" s="4"/>
      <c r="H16" s="4"/>
      <c r="I16" s="16" t="str">
        <f t="shared" si="0"/>
        <v/>
      </c>
      <c r="J16" s="16" t="str">
        <f t="shared" si="1"/>
        <v/>
      </c>
      <c r="K16" s="16" t="str">
        <f t="shared" si="2"/>
        <v/>
      </c>
    </row>
    <row r="17" spans="1:11">
      <c r="A17" s="4" t="s">
        <v>428</v>
      </c>
      <c r="B17" s="5" t="s">
        <v>427</v>
      </c>
      <c r="C17" s="5" t="s">
        <v>17</v>
      </c>
      <c r="D17" s="4"/>
      <c r="E17" s="4"/>
      <c r="F17" s="4"/>
      <c r="G17" s="4"/>
      <c r="H17" s="4"/>
      <c r="I17" s="16" t="str">
        <f t="shared" si="0"/>
        <v/>
      </c>
      <c r="J17" s="16" t="str">
        <f t="shared" si="1"/>
        <v/>
      </c>
      <c r="K17" s="16" t="str">
        <f t="shared" si="2"/>
        <v/>
      </c>
    </row>
    <row r="18" spans="1:11">
      <c r="A18" s="4" t="s">
        <v>343</v>
      </c>
      <c r="B18" s="5" t="s">
        <v>112</v>
      </c>
      <c r="C18" s="5" t="s">
        <v>17</v>
      </c>
      <c r="D18" s="4"/>
      <c r="E18" s="4"/>
      <c r="F18" s="4"/>
      <c r="G18" s="4"/>
      <c r="H18" s="4"/>
      <c r="I18" s="16" t="str">
        <f t="shared" si="0"/>
        <v/>
      </c>
      <c r="J18" s="16" t="str">
        <f t="shared" si="1"/>
        <v/>
      </c>
      <c r="K18" s="16" t="str">
        <f t="shared" si="2"/>
        <v/>
      </c>
    </row>
    <row r="19" spans="1:11">
      <c r="A19" s="4" t="s">
        <v>344</v>
      </c>
      <c r="B19" s="5" t="s">
        <v>115</v>
      </c>
      <c r="C19" s="5" t="s">
        <v>17</v>
      </c>
      <c r="D19" s="4"/>
      <c r="E19" s="4"/>
      <c r="F19" s="4"/>
      <c r="G19" s="4"/>
      <c r="H19" s="4"/>
      <c r="I19" s="16" t="str">
        <f t="shared" si="0"/>
        <v/>
      </c>
      <c r="J19" s="16" t="str">
        <f t="shared" si="1"/>
        <v/>
      </c>
      <c r="K19" s="16" t="str">
        <f t="shared" si="2"/>
        <v/>
      </c>
    </row>
    <row r="20" spans="1:11">
      <c r="A20" s="4" t="s">
        <v>426</v>
      </c>
      <c r="B20" s="5" t="s">
        <v>425</v>
      </c>
      <c r="C20" s="5" t="s">
        <v>83</v>
      </c>
      <c r="D20" s="4"/>
      <c r="E20" s="4"/>
      <c r="F20" s="4"/>
      <c r="G20" s="4"/>
      <c r="H20" s="4"/>
      <c r="I20" s="16" t="str">
        <f t="shared" si="0"/>
        <v/>
      </c>
      <c r="J20" s="16" t="str">
        <f t="shared" si="1"/>
        <v/>
      </c>
      <c r="K20" s="16" t="str">
        <f t="shared" si="2"/>
        <v/>
      </c>
    </row>
    <row r="21" spans="1:11">
      <c r="A21" s="4" t="s">
        <v>424</v>
      </c>
      <c r="B21" s="5" t="s">
        <v>423</v>
      </c>
      <c r="C21" s="5" t="s">
        <v>83</v>
      </c>
      <c r="D21" s="4"/>
      <c r="E21" s="4"/>
      <c r="F21" s="4"/>
      <c r="G21" s="4"/>
      <c r="H21" s="4"/>
      <c r="I21" s="16" t="str">
        <f t="shared" si="0"/>
        <v/>
      </c>
      <c r="J21" s="16" t="str">
        <f t="shared" si="1"/>
        <v/>
      </c>
      <c r="K21" s="16" t="str">
        <f t="shared" si="2"/>
        <v/>
      </c>
    </row>
    <row r="22" spans="1:11">
      <c r="A22" s="9" t="s">
        <v>491</v>
      </c>
      <c r="B22" s="10"/>
      <c r="C22" s="10"/>
      <c r="D22" s="9"/>
      <c r="E22" s="9"/>
      <c r="F22" s="9"/>
      <c r="G22" s="9"/>
      <c r="H22" s="9"/>
      <c r="I22" s="16" t="str">
        <f t="shared" si="0"/>
        <v/>
      </c>
      <c r="J22" s="16" t="str">
        <f t="shared" si="1"/>
        <v/>
      </c>
      <c r="K22" s="16" t="str">
        <f t="shared" si="2"/>
        <v/>
      </c>
    </row>
    <row r="23" spans="1:11">
      <c r="A23" s="6" t="s">
        <v>492</v>
      </c>
      <c r="B23" s="7"/>
      <c r="C23" s="7"/>
      <c r="D23" s="6"/>
      <c r="E23" s="6"/>
      <c r="F23" s="6"/>
      <c r="G23" s="6"/>
      <c r="H23" s="6"/>
      <c r="I23" s="16" t="str">
        <f t="shared" si="0"/>
        <v/>
      </c>
      <c r="J23" s="16" t="str">
        <f t="shared" si="1"/>
        <v/>
      </c>
      <c r="K23" s="16" t="str">
        <f t="shared" si="2"/>
        <v/>
      </c>
    </row>
    <row r="24" spans="1:11">
      <c r="A24" s="4" t="s">
        <v>422</v>
      </c>
      <c r="B24" s="5" t="s">
        <v>421</v>
      </c>
      <c r="C24" s="5" t="s">
        <v>388</v>
      </c>
      <c r="D24" s="4"/>
      <c r="E24" s="4"/>
      <c r="F24" s="4"/>
      <c r="G24" s="4"/>
      <c r="H24" s="4"/>
      <c r="I24" s="16" t="str">
        <f t="shared" si="0"/>
        <v/>
      </c>
      <c r="J24" s="16" t="str">
        <f t="shared" si="1"/>
        <v/>
      </c>
      <c r="K24" s="16" t="str">
        <f t="shared" si="2"/>
        <v/>
      </c>
    </row>
    <row r="25" spans="1:11">
      <c r="A25" s="4" t="s">
        <v>420</v>
      </c>
      <c r="B25" s="5" t="s">
        <v>419</v>
      </c>
      <c r="C25" s="5" t="s">
        <v>418</v>
      </c>
      <c r="D25" s="4"/>
      <c r="E25" s="4"/>
      <c r="F25" s="4"/>
      <c r="G25" s="4"/>
      <c r="H25" s="4"/>
      <c r="I25" s="16" t="str">
        <f t="shared" si="0"/>
        <v/>
      </c>
      <c r="J25" s="16" t="str">
        <f t="shared" si="1"/>
        <v/>
      </c>
      <c r="K25" s="16" t="str">
        <f t="shared" si="2"/>
        <v/>
      </c>
    </row>
    <row r="26" spans="1:11">
      <c r="A26" s="4" t="s">
        <v>411</v>
      </c>
      <c r="B26" s="5" t="s">
        <v>225</v>
      </c>
      <c r="C26" s="5" t="s">
        <v>83</v>
      </c>
      <c r="D26" s="4"/>
      <c r="E26" s="4"/>
      <c r="F26" s="4"/>
      <c r="G26" s="4"/>
      <c r="H26" s="4"/>
      <c r="I26" s="16" t="str">
        <f t="shared" si="0"/>
        <v/>
      </c>
      <c r="J26" s="16" t="str">
        <f t="shared" si="1"/>
        <v/>
      </c>
      <c r="K26" s="16" t="str">
        <f t="shared" si="2"/>
        <v/>
      </c>
    </row>
    <row r="27" spans="1:11">
      <c r="A27" s="4" t="s">
        <v>410</v>
      </c>
      <c r="B27" s="5" t="s">
        <v>409</v>
      </c>
      <c r="C27" s="5" t="s">
        <v>83</v>
      </c>
      <c r="D27" s="4"/>
      <c r="E27" s="4"/>
      <c r="F27" s="4"/>
      <c r="G27" s="4"/>
      <c r="H27" s="4"/>
      <c r="I27" s="16" t="str">
        <f t="shared" si="0"/>
        <v/>
      </c>
      <c r="J27" s="16" t="str">
        <f t="shared" si="1"/>
        <v/>
      </c>
      <c r="K27" s="16" t="str">
        <f t="shared" si="2"/>
        <v/>
      </c>
    </row>
    <row r="28" spans="1:11">
      <c r="A28" s="4" t="s">
        <v>400</v>
      </c>
      <c r="B28" s="5" t="s">
        <v>228</v>
      </c>
      <c r="C28" s="5" t="s">
        <v>83</v>
      </c>
      <c r="D28" s="4"/>
      <c r="E28" s="4"/>
      <c r="F28" s="4"/>
      <c r="G28" s="4"/>
      <c r="H28" s="4"/>
      <c r="I28" s="16" t="str">
        <f t="shared" si="0"/>
        <v/>
      </c>
      <c r="J28" s="16" t="str">
        <f t="shared" si="1"/>
        <v/>
      </c>
      <c r="K28" s="16" t="str">
        <f t="shared" si="2"/>
        <v/>
      </c>
    </row>
    <row r="29" spans="1:11">
      <c r="A29" s="4" t="s">
        <v>399</v>
      </c>
      <c r="B29" s="5" t="s">
        <v>398</v>
      </c>
      <c r="C29" s="5" t="s">
        <v>83</v>
      </c>
      <c r="D29" s="4"/>
      <c r="E29" s="4"/>
      <c r="F29" s="4"/>
      <c r="G29" s="4"/>
      <c r="H29" s="4"/>
      <c r="I29" s="16" t="str">
        <f t="shared" si="0"/>
        <v/>
      </c>
      <c r="J29" s="16" t="str">
        <f t="shared" si="1"/>
        <v/>
      </c>
      <c r="K29" s="16" t="str">
        <f t="shared" si="2"/>
        <v/>
      </c>
    </row>
    <row r="30" spans="1:11">
      <c r="A30" s="6" t="s">
        <v>493</v>
      </c>
      <c r="B30" s="7"/>
      <c r="C30" s="7"/>
      <c r="D30" s="6"/>
      <c r="E30" s="6"/>
      <c r="F30" s="6"/>
      <c r="G30" s="6"/>
      <c r="H30" s="6"/>
      <c r="I30" s="16" t="str">
        <f t="shared" si="0"/>
        <v/>
      </c>
      <c r="J30" s="16" t="str">
        <f t="shared" si="1"/>
        <v/>
      </c>
      <c r="K30" s="16" t="str">
        <f t="shared" si="2"/>
        <v/>
      </c>
    </row>
    <row r="31" spans="1:11">
      <c r="A31" s="4" t="s">
        <v>415</v>
      </c>
      <c r="B31" s="5" t="s">
        <v>414</v>
      </c>
      <c r="C31" s="5" t="s">
        <v>83</v>
      </c>
      <c r="D31" s="4"/>
      <c r="E31" s="4"/>
      <c r="F31" s="4"/>
      <c r="G31" s="4"/>
      <c r="H31" s="4"/>
      <c r="I31" s="16" t="str">
        <f t="shared" si="0"/>
        <v/>
      </c>
      <c r="J31" s="16" t="str">
        <f t="shared" si="1"/>
        <v/>
      </c>
      <c r="K31" s="16" t="str">
        <f t="shared" si="2"/>
        <v/>
      </c>
    </row>
    <row r="32" spans="1:11">
      <c r="A32" s="4" t="s">
        <v>413</v>
      </c>
      <c r="B32" s="5" t="s">
        <v>412</v>
      </c>
      <c r="C32" s="5" t="s">
        <v>388</v>
      </c>
      <c r="D32" s="4"/>
      <c r="E32" s="4"/>
      <c r="F32" s="4"/>
      <c r="G32" s="4"/>
      <c r="H32" s="4"/>
      <c r="I32" s="16" t="str">
        <f t="shared" si="0"/>
        <v/>
      </c>
      <c r="J32" s="16" t="str">
        <f t="shared" si="1"/>
        <v/>
      </c>
      <c r="K32" s="16" t="str">
        <f t="shared" si="2"/>
        <v/>
      </c>
    </row>
    <row r="33" spans="1:11">
      <c r="A33" s="4" t="s">
        <v>408</v>
      </c>
      <c r="B33" s="5" t="s">
        <v>407</v>
      </c>
      <c r="C33" s="5" t="s">
        <v>83</v>
      </c>
      <c r="D33" s="4"/>
      <c r="E33" s="4"/>
      <c r="F33" s="4"/>
      <c r="G33" s="4"/>
      <c r="H33" s="4"/>
      <c r="I33" s="16" t="str">
        <f t="shared" si="0"/>
        <v/>
      </c>
      <c r="J33" s="16" t="str">
        <f t="shared" si="1"/>
        <v/>
      </c>
      <c r="K33" s="16" t="str">
        <f t="shared" si="2"/>
        <v/>
      </c>
    </row>
    <row r="34" spans="1:11">
      <c r="A34" s="6" t="s">
        <v>314</v>
      </c>
      <c r="B34" s="7"/>
      <c r="C34" s="7"/>
      <c r="D34" s="6"/>
      <c r="E34" s="6"/>
      <c r="F34" s="6"/>
      <c r="G34" s="6"/>
      <c r="H34" s="6"/>
      <c r="I34" s="16" t="str">
        <f t="shared" si="0"/>
        <v/>
      </c>
      <c r="J34" s="16" t="str">
        <f t="shared" si="1"/>
        <v/>
      </c>
      <c r="K34" s="16" t="str">
        <f t="shared" si="2"/>
        <v/>
      </c>
    </row>
    <row r="35" spans="1:11">
      <c r="A35" s="4" t="s">
        <v>406</v>
      </c>
      <c r="B35" s="5" t="s">
        <v>405</v>
      </c>
      <c r="C35" s="5" t="s">
        <v>83</v>
      </c>
      <c r="D35" s="4"/>
      <c r="E35" s="4"/>
      <c r="F35" s="4"/>
      <c r="G35" s="4"/>
      <c r="H35" s="4"/>
      <c r="I35" s="16" t="str">
        <f t="shared" si="0"/>
        <v/>
      </c>
      <c r="J35" s="16" t="str">
        <f t="shared" si="1"/>
        <v/>
      </c>
      <c r="K35" s="16" t="str">
        <f t="shared" si="2"/>
        <v/>
      </c>
    </row>
    <row r="36" spans="1:11">
      <c r="A36" s="4" t="s">
        <v>404</v>
      </c>
      <c r="B36" s="5" t="s">
        <v>216</v>
      </c>
      <c r="C36" s="5" t="s">
        <v>83</v>
      </c>
      <c r="D36" s="4"/>
      <c r="E36" s="4"/>
      <c r="F36" s="4"/>
      <c r="G36" s="4"/>
      <c r="H36" s="4"/>
      <c r="I36" s="16" t="str">
        <f t="shared" si="0"/>
        <v/>
      </c>
      <c r="J36" s="16" t="str">
        <f t="shared" si="1"/>
        <v/>
      </c>
      <c r="K36" s="16" t="str">
        <f t="shared" si="2"/>
        <v/>
      </c>
    </row>
    <row r="37" spans="1:11">
      <c r="A37" s="4" t="s">
        <v>403</v>
      </c>
      <c r="B37" s="5" t="s">
        <v>222</v>
      </c>
      <c r="C37" s="5" t="s">
        <v>83</v>
      </c>
      <c r="D37" s="4"/>
      <c r="E37" s="4"/>
      <c r="F37" s="4"/>
      <c r="G37" s="4"/>
      <c r="H37" s="4"/>
      <c r="I37" s="16" t="str">
        <f t="shared" si="0"/>
        <v/>
      </c>
      <c r="J37" s="16" t="str">
        <f t="shared" si="1"/>
        <v/>
      </c>
      <c r="K37" s="16" t="str">
        <f t="shared" si="2"/>
        <v/>
      </c>
    </row>
    <row r="38" spans="1:11">
      <c r="A38" s="4" t="s">
        <v>402</v>
      </c>
      <c r="B38" s="5" t="s">
        <v>401</v>
      </c>
      <c r="C38" s="5" t="s">
        <v>83</v>
      </c>
      <c r="D38" s="4"/>
      <c r="E38" s="4"/>
      <c r="F38" s="4"/>
      <c r="G38" s="4"/>
      <c r="H38" s="4"/>
      <c r="I38" s="16" t="str">
        <f t="shared" si="0"/>
        <v/>
      </c>
      <c r="J38" s="16" t="str">
        <f t="shared" si="1"/>
        <v/>
      </c>
      <c r="K38" s="16" t="str">
        <f t="shared" si="2"/>
        <v/>
      </c>
    </row>
    <row r="39" spans="1:11">
      <c r="A39" s="6" t="s">
        <v>494</v>
      </c>
      <c r="B39" s="7"/>
      <c r="C39" s="7"/>
      <c r="D39" s="6"/>
      <c r="E39" s="6"/>
      <c r="F39" s="6"/>
      <c r="G39" s="6"/>
      <c r="H39" s="6"/>
      <c r="I39" s="16" t="str">
        <f t="shared" si="0"/>
        <v/>
      </c>
      <c r="J39" s="16" t="str">
        <f t="shared" si="1"/>
        <v/>
      </c>
      <c r="K39" s="16" t="str">
        <f t="shared" si="2"/>
        <v/>
      </c>
    </row>
    <row r="40" spans="1:11">
      <c r="A40" s="4" t="s">
        <v>397</v>
      </c>
      <c r="B40" s="5" t="s">
        <v>396</v>
      </c>
      <c r="C40" s="5" t="s">
        <v>83</v>
      </c>
      <c r="D40" s="4"/>
      <c r="E40" s="4"/>
      <c r="F40" s="4"/>
      <c r="G40" s="4"/>
      <c r="H40" s="4"/>
      <c r="I40" s="16" t="str">
        <f t="shared" si="0"/>
        <v/>
      </c>
      <c r="J40" s="16" t="str">
        <f t="shared" si="1"/>
        <v/>
      </c>
      <c r="K40" s="16" t="str">
        <f t="shared" si="2"/>
        <v/>
      </c>
    </row>
    <row r="41" spans="1:11">
      <c r="A41" s="4" t="s">
        <v>395</v>
      </c>
      <c r="B41" s="5" t="s">
        <v>234</v>
      </c>
      <c r="C41" s="5" t="s">
        <v>83</v>
      </c>
      <c r="D41" s="4"/>
      <c r="E41" s="4"/>
      <c r="F41" s="4"/>
      <c r="G41" s="4"/>
      <c r="H41" s="4"/>
      <c r="I41" s="16" t="str">
        <f t="shared" si="0"/>
        <v/>
      </c>
      <c r="J41" s="16" t="str">
        <f t="shared" si="1"/>
        <v/>
      </c>
      <c r="K41" s="16" t="str">
        <f t="shared" si="2"/>
        <v/>
      </c>
    </row>
    <row r="42" spans="1:11">
      <c r="A42" s="4" t="s">
        <v>394</v>
      </c>
      <c r="B42" s="5" t="s">
        <v>393</v>
      </c>
      <c r="C42" s="5" t="s">
        <v>83</v>
      </c>
      <c r="D42" s="4"/>
      <c r="E42" s="4"/>
      <c r="F42" s="4"/>
      <c r="G42" s="4"/>
      <c r="H42" s="4"/>
      <c r="I42" s="16" t="str">
        <f t="shared" si="0"/>
        <v/>
      </c>
      <c r="J42" s="16" t="str">
        <f t="shared" si="1"/>
        <v/>
      </c>
      <c r="K42" s="16" t="str">
        <f t="shared" si="2"/>
        <v/>
      </c>
    </row>
    <row r="43" spans="1:11">
      <c r="A43" s="4" t="s">
        <v>417</v>
      </c>
      <c r="B43" s="5" t="s">
        <v>416</v>
      </c>
      <c r="C43" s="5" t="s">
        <v>83</v>
      </c>
      <c r="D43" s="4"/>
      <c r="E43" s="4"/>
      <c r="F43" s="4"/>
      <c r="G43" s="4"/>
      <c r="H43" s="4"/>
      <c r="I43" s="16" t="str">
        <f t="shared" si="0"/>
        <v/>
      </c>
      <c r="J43" s="16" t="str">
        <f t="shared" si="1"/>
        <v/>
      </c>
      <c r="K43" s="16" t="str">
        <f t="shared" si="2"/>
        <v/>
      </c>
    </row>
    <row r="44" spans="1:11">
      <c r="A44" s="6" t="s">
        <v>495</v>
      </c>
      <c r="B44" s="7"/>
      <c r="C44" s="7"/>
      <c r="D44" s="6"/>
      <c r="E44" s="6"/>
      <c r="F44" s="6"/>
      <c r="G44" s="6"/>
      <c r="H44" s="6"/>
      <c r="I44" s="16" t="str">
        <f t="shared" si="0"/>
        <v/>
      </c>
      <c r="J44" s="16" t="str">
        <f t="shared" si="1"/>
        <v/>
      </c>
      <c r="K44" s="16" t="str">
        <f t="shared" si="2"/>
        <v/>
      </c>
    </row>
    <row r="45" spans="1:11">
      <c r="A45" s="4" t="s">
        <v>392</v>
      </c>
      <c r="B45" s="5" t="s">
        <v>391</v>
      </c>
      <c r="C45" s="5" t="s">
        <v>83</v>
      </c>
      <c r="D45" s="4"/>
      <c r="E45" s="4"/>
      <c r="F45" s="4"/>
      <c r="G45" s="4"/>
      <c r="H45" s="4"/>
      <c r="I45" s="16" t="str">
        <f t="shared" si="0"/>
        <v/>
      </c>
      <c r="J45" s="16" t="str">
        <f t="shared" si="1"/>
        <v/>
      </c>
      <c r="K45" s="16" t="str">
        <f t="shared" si="2"/>
        <v/>
      </c>
    </row>
    <row r="46" spans="1:11">
      <c r="A46" s="9" t="s">
        <v>490</v>
      </c>
      <c r="B46" s="10"/>
      <c r="C46" s="10"/>
      <c r="D46" s="9"/>
      <c r="E46" s="9"/>
      <c r="F46" s="9"/>
      <c r="G46" s="9"/>
      <c r="H46" s="9" t="s">
        <v>324</v>
      </c>
      <c r="I46" s="16" t="str">
        <f t="shared" si="0"/>
        <v/>
      </c>
      <c r="J46" s="16" t="str">
        <f t="shared" si="1"/>
        <v/>
      </c>
      <c r="K46" s="16" t="str">
        <f t="shared" si="2"/>
        <v/>
      </c>
    </row>
    <row r="47" spans="1:11">
      <c r="A47" s="11" t="s">
        <v>496</v>
      </c>
      <c r="B47" s="3"/>
      <c r="C47" s="3"/>
      <c r="D47" s="2"/>
      <c r="E47" s="2"/>
      <c r="F47" s="2"/>
      <c r="G47" s="2"/>
      <c r="H47" s="2"/>
      <c r="I47" s="16" t="str">
        <f t="shared" si="0"/>
        <v/>
      </c>
      <c r="J47" s="16" t="str">
        <f t="shared" si="1"/>
        <v/>
      </c>
      <c r="K47" s="16" t="str">
        <f t="shared" si="2"/>
        <v/>
      </c>
    </row>
    <row r="48" spans="1:11">
      <c r="A48" s="4" t="s">
        <v>470</v>
      </c>
      <c r="B48" s="5" t="s">
        <v>469</v>
      </c>
      <c r="C48" s="5" t="s">
        <v>83</v>
      </c>
      <c r="D48" s="4"/>
      <c r="E48" s="4"/>
      <c r="F48" s="4"/>
      <c r="G48" s="4"/>
      <c r="H48" s="4"/>
      <c r="I48" s="16" t="str">
        <f t="shared" si="0"/>
        <v/>
      </c>
      <c r="J48" s="16" t="str">
        <f t="shared" si="1"/>
        <v/>
      </c>
      <c r="K48" s="16" t="str">
        <f t="shared" si="2"/>
        <v/>
      </c>
    </row>
    <row r="49" spans="1:11">
      <c r="A49" s="4" t="s">
        <v>468</v>
      </c>
      <c r="B49" s="5" t="s">
        <v>467</v>
      </c>
      <c r="C49" s="5" t="s">
        <v>83</v>
      </c>
      <c r="D49" s="4"/>
      <c r="E49" s="4"/>
      <c r="F49" s="4"/>
      <c r="G49" s="4"/>
      <c r="H49" s="4"/>
      <c r="I49" s="16" t="str">
        <f t="shared" si="0"/>
        <v/>
      </c>
      <c r="J49" s="16" t="str">
        <f t="shared" si="1"/>
        <v/>
      </c>
      <c r="K49" s="16" t="str">
        <f t="shared" si="2"/>
        <v/>
      </c>
    </row>
    <row r="50" spans="1:11">
      <c r="A50" s="4" t="s">
        <v>466</v>
      </c>
      <c r="B50" s="5" t="s">
        <v>465</v>
      </c>
      <c r="C50" s="5" t="s">
        <v>83</v>
      </c>
      <c r="D50" s="4"/>
      <c r="E50" s="4"/>
      <c r="F50" s="4"/>
      <c r="G50" s="4"/>
      <c r="H50" s="4"/>
      <c r="I50" s="16" t="str">
        <f t="shared" si="0"/>
        <v/>
      </c>
      <c r="J50" s="16" t="str">
        <f t="shared" si="1"/>
        <v/>
      </c>
      <c r="K50" s="16" t="str">
        <f t="shared" si="2"/>
        <v/>
      </c>
    </row>
    <row r="51" spans="1:11">
      <c r="A51" s="4" t="s">
        <v>464</v>
      </c>
      <c r="B51" s="5" t="s">
        <v>463</v>
      </c>
      <c r="C51" s="5" t="s">
        <v>83</v>
      </c>
      <c r="D51" s="4"/>
      <c r="E51" s="4"/>
      <c r="F51" s="4"/>
      <c r="G51" s="4"/>
      <c r="H51" s="4"/>
      <c r="I51" s="16" t="str">
        <f t="shared" si="0"/>
        <v/>
      </c>
      <c r="J51" s="16" t="str">
        <f t="shared" si="1"/>
        <v/>
      </c>
      <c r="K51" s="16" t="str">
        <f t="shared" si="2"/>
        <v/>
      </c>
    </row>
    <row r="52" spans="1:11">
      <c r="A52" s="4" t="s">
        <v>462</v>
      </c>
      <c r="B52" s="5" t="s">
        <v>461</v>
      </c>
      <c r="C52" s="5" t="s">
        <v>83</v>
      </c>
      <c r="D52" s="4"/>
      <c r="E52" s="4"/>
      <c r="F52" s="4"/>
      <c r="G52" s="4"/>
      <c r="H52" s="4"/>
      <c r="I52" s="16" t="str">
        <f t="shared" si="0"/>
        <v/>
      </c>
      <c r="J52" s="16" t="str">
        <f t="shared" si="1"/>
        <v/>
      </c>
      <c r="K52" s="16" t="str">
        <f t="shared" si="2"/>
        <v/>
      </c>
    </row>
    <row r="53" spans="1:11">
      <c r="A53" s="4" t="s">
        <v>460</v>
      </c>
      <c r="B53" s="5" t="s">
        <v>375</v>
      </c>
      <c r="C53" s="5" t="s">
        <v>83</v>
      </c>
      <c r="D53" s="4"/>
      <c r="E53" s="4"/>
      <c r="F53" s="4"/>
      <c r="G53" s="4"/>
      <c r="H53" s="4"/>
      <c r="I53" s="16" t="str">
        <f t="shared" si="0"/>
        <v/>
      </c>
      <c r="J53" s="16" t="str">
        <f t="shared" si="1"/>
        <v/>
      </c>
      <c r="K53" s="16" t="str">
        <f t="shared" si="2"/>
        <v/>
      </c>
    </row>
    <row r="54" spans="1:11">
      <c r="A54" s="11" t="s">
        <v>497</v>
      </c>
      <c r="B54" s="3"/>
      <c r="C54" s="3"/>
      <c r="D54" s="2"/>
      <c r="E54" s="2"/>
      <c r="F54" s="2"/>
      <c r="G54" s="2"/>
      <c r="H54" s="2"/>
      <c r="I54" s="16" t="str">
        <f t="shared" si="0"/>
        <v/>
      </c>
      <c r="J54" s="16" t="str">
        <f t="shared" si="1"/>
        <v/>
      </c>
      <c r="K54" s="16" t="str">
        <f t="shared" si="2"/>
        <v/>
      </c>
    </row>
    <row r="55" spans="1:11">
      <c r="A55" s="4" t="s">
        <v>459</v>
      </c>
      <c r="B55" s="5" t="s">
        <v>458</v>
      </c>
      <c r="C55" s="5" t="s">
        <v>83</v>
      </c>
      <c r="D55" s="4"/>
      <c r="E55" s="4"/>
      <c r="F55" s="4"/>
      <c r="G55" s="4"/>
      <c r="H55" s="4"/>
      <c r="I55" s="16" t="str">
        <f t="shared" si="0"/>
        <v/>
      </c>
      <c r="J55" s="16" t="str">
        <f t="shared" si="1"/>
        <v/>
      </c>
      <c r="K55" s="16" t="str">
        <f t="shared" si="2"/>
        <v/>
      </c>
    </row>
    <row r="56" spans="1:11">
      <c r="A56" s="4" t="s">
        <v>457</v>
      </c>
      <c r="B56" s="5" t="s">
        <v>456</v>
      </c>
      <c r="C56" s="5" t="s">
        <v>83</v>
      </c>
      <c r="D56" s="4"/>
      <c r="E56" s="4"/>
      <c r="F56" s="4"/>
      <c r="G56" s="4"/>
      <c r="H56" s="4"/>
      <c r="I56" s="16" t="str">
        <f t="shared" si="0"/>
        <v/>
      </c>
      <c r="J56" s="16" t="str">
        <f t="shared" si="1"/>
        <v/>
      </c>
      <c r="K56" s="16" t="str">
        <f t="shared" si="2"/>
        <v/>
      </c>
    </row>
    <row r="57" spans="1:11">
      <c r="A57" s="4" t="s">
        <v>455</v>
      </c>
      <c r="B57" s="5" t="s">
        <v>454</v>
      </c>
      <c r="C57" s="5" t="s">
        <v>83</v>
      </c>
      <c r="D57" s="4"/>
      <c r="E57" s="4"/>
      <c r="F57" s="4"/>
      <c r="G57" s="4"/>
      <c r="H57" s="4"/>
      <c r="I57" s="16" t="str">
        <f t="shared" si="0"/>
        <v/>
      </c>
      <c r="J57" s="16" t="str">
        <f t="shared" si="1"/>
        <v/>
      </c>
      <c r="K57" s="16" t="str">
        <f t="shared" si="2"/>
        <v/>
      </c>
    </row>
    <row r="58" spans="1:11">
      <c r="A58" s="4" t="s">
        <v>453</v>
      </c>
      <c r="B58" s="5" t="s">
        <v>350</v>
      </c>
      <c r="C58" s="5" t="s">
        <v>83</v>
      </c>
      <c r="D58" s="4"/>
      <c r="E58" s="4"/>
      <c r="F58" s="4"/>
      <c r="G58" s="4"/>
      <c r="H58" s="4"/>
      <c r="I58" s="16" t="str">
        <f t="shared" si="0"/>
        <v/>
      </c>
      <c r="J58" s="16" t="str">
        <f t="shared" si="1"/>
        <v/>
      </c>
      <c r="K58" s="16" t="str">
        <f t="shared" si="2"/>
        <v/>
      </c>
    </row>
    <row r="59" spans="1:11">
      <c r="A59" s="4" t="s">
        <v>452</v>
      </c>
      <c r="B59" s="5" t="s">
        <v>273</v>
      </c>
      <c r="C59" s="5" t="s">
        <v>83</v>
      </c>
      <c r="D59" s="4"/>
      <c r="E59" s="4"/>
      <c r="F59" s="4"/>
      <c r="G59" s="4"/>
      <c r="H59" s="4"/>
      <c r="I59" s="16" t="str">
        <f t="shared" si="0"/>
        <v/>
      </c>
      <c r="J59" s="16" t="str">
        <f t="shared" si="1"/>
        <v/>
      </c>
      <c r="K59" s="16" t="str">
        <f t="shared" si="2"/>
        <v/>
      </c>
    </row>
    <row r="60" spans="1:11">
      <c r="A60" s="4" t="s">
        <v>451</v>
      </c>
      <c r="B60" s="5" t="s">
        <v>450</v>
      </c>
      <c r="C60" s="5" t="s">
        <v>83</v>
      </c>
      <c r="D60" s="4"/>
      <c r="E60" s="4"/>
      <c r="F60" s="4"/>
      <c r="G60" s="4"/>
      <c r="H60" s="4"/>
      <c r="I60" s="16" t="str">
        <f t="shared" si="0"/>
        <v/>
      </c>
      <c r="J60" s="16" t="str">
        <f t="shared" si="1"/>
        <v/>
      </c>
      <c r="K60" s="16" t="str">
        <f t="shared" si="2"/>
        <v/>
      </c>
    </row>
    <row r="61" spans="1:11">
      <c r="A61" s="11" t="s">
        <v>498</v>
      </c>
      <c r="B61" s="3"/>
      <c r="C61" s="3"/>
      <c r="D61" s="2"/>
      <c r="E61" s="2"/>
      <c r="F61" s="2"/>
      <c r="G61" s="2"/>
      <c r="H61" s="2"/>
      <c r="I61" s="16" t="str">
        <f t="shared" si="0"/>
        <v/>
      </c>
      <c r="J61" s="16" t="str">
        <f t="shared" si="1"/>
        <v/>
      </c>
      <c r="K61" s="16" t="str">
        <f t="shared" si="2"/>
        <v/>
      </c>
    </row>
    <row r="62" spans="1:11">
      <c r="A62" s="4" t="s">
        <v>449</v>
      </c>
      <c r="B62" s="5" t="s">
        <v>448</v>
      </c>
      <c r="C62" s="5" t="s">
        <v>83</v>
      </c>
      <c r="D62" s="4"/>
      <c r="E62" s="4"/>
      <c r="F62" s="4"/>
      <c r="G62" s="4"/>
      <c r="H62" s="4"/>
      <c r="I62" s="16" t="str">
        <f t="shared" si="0"/>
        <v/>
      </c>
      <c r="J62" s="16" t="str">
        <f t="shared" si="1"/>
        <v/>
      </c>
      <c r="K62" s="16" t="str">
        <f t="shared" si="2"/>
        <v/>
      </c>
    </row>
    <row r="63" spans="1:11">
      <c r="A63" s="4" t="s">
        <v>447</v>
      </c>
      <c r="B63" s="5" t="s">
        <v>446</v>
      </c>
      <c r="C63" s="5" t="s">
        <v>83</v>
      </c>
      <c r="D63" s="4"/>
      <c r="E63" s="4"/>
      <c r="F63" s="4"/>
      <c r="G63" s="4"/>
      <c r="H63" s="4"/>
      <c r="I63" s="16" t="str">
        <f t="shared" si="0"/>
        <v/>
      </c>
      <c r="J63" s="16" t="str">
        <f t="shared" si="1"/>
        <v/>
      </c>
      <c r="K63" s="16" t="str">
        <f t="shared" si="2"/>
        <v/>
      </c>
    </row>
    <row r="64" spans="1:11">
      <c r="A64" s="4" t="s">
        <v>445</v>
      </c>
      <c r="B64" s="5" t="s">
        <v>444</v>
      </c>
      <c r="C64" s="5" t="s">
        <v>83</v>
      </c>
      <c r="D64" s="4"/>
      <c r="E64" s="4"/>
      <c r="F64" s="4"/>
      <c r="G64" s="4"/>
      <c r="H64" s="4"/>
      <c r="I64" s="16" t="str">
        <f t="shared" si="0"/>
        <v/>
      </c>
      <c r="J64" s="16" t="str">
        <f t="shared" si="1"/>
        <v/>
      </c>
      <c r="K64" s="16" t="str">
        <f t="shared" si="2"/>
        <v/>
      </c>
    </row>
    <row r="65" spans="1:11">
      <c r="A65" s="4" t="s">
        <v>443</v>
      </c>
      <c r="B65" s="5" t="s">
        <v>442</v>
      </c>
      <c r="C65" s="5" t="s">
        <v>83</v>
      </c>
      <c r="D65" s="4"/>
      <c r="E65" s="4"/>
      <c r="F65" s="4"/>
      <c r="G65" s="4"/>
      <c r="H65" s="4"/>
      <c r="I65" s="16" t="str">
        <f t="shared" si="0"/>
        <v/>
      </c>
      <c r="J65" s="16" t="str">
        <f t="shared" si="1"/>
        <v/>
      </c>
      <c r="K65" s="16" t="str">
        <f t="shared" si="2"/>
        <v/>
      </c>
    </row>
    <row r="66" spans="1:11">
      <c r="A66" s="4" t="s">
        <v>441</v>
      </c>
      <c r="B66" s="5" t="s">
        <v>440</v>
      </c>
      <c r="C66" s="5" t="s">
        <v>83</v>
      </c>
      <c r="D66" s="4"/>
      <c r="E66" s="4"/>
      <c r="F66" s="4"/>
      <c r="G66" s="4"/>
      <c r="H66" s="4"/>
      <c r="I66" s="16" t="str">
        <f t="shared" si="0"/>
        <v/>
      </c>
      <c r="J66" s="16" t="str">
        <f t="shared" si="1"/>
        <v/>
      </c>
      <c r="K66" s="16" t="str">
        <f t="shared" si="2"/>
        <v/>
      </c>
    </row>
    <row r="67" spans="1:11">
      <c r="A67" s="4" t="s">
        <v>439</v>
      </c>
      <c r="B67" s="5" t="s">
        <v>438</v>
      </c>
      <c r="C67" s="5" t="s">
        <v>83</v>
      </c>
      <c r="D67" s="4"/>
      <c r="E67" s="4"/>
      <c r="F67" s="4"/>
      <c r="G67" s="4"/>
      <c r="H67" s="4"/>
      <c r="I67" s="16" t="str">
        <f t="shared" si="0"/>
        <v/>
      </c>
      <c r="J67" s="16" t="str">
        <f t="shared" si="1"/>
        <v/>
      </c>
      <c r="K67" s="16" t="str">
        <f t="shared" si="2"/>
        <v/>
      </c>
    </row>
    <row r="68" spans="1:11">
      <c r="A68" s="9" t="s">
        <v>499</v>
      </c>
      <c r="B68" s="10"/>
      <c r="C68" s="10"/>
      <c r="D68" s="9"/>
      <c r="E68" s="9"/>
      <c r="F68" s="9"/>
      <c r="G68" s="9"/>
      <c r="H68" s="9"/>
      <c r="I68" s="16" t="str">
        <f t="shared" si="0"/>
        <v/>
      </c>
      <c r="J68" s="16" t="str">
        <f t="shared" si="1"/>
        <v/>
      </c>
      <c r="K68" s="16" t="str">
        <f t="shared" si="2"/>
        <v/>
      </c>
    </row>
    <row r="69" spans="1:11">
      <c r="A69" s="4" t="s">
        <v>489</v>
      </c>
      <c r="B69" s="5" t="s">
        <v>366</v>
      </c>
      <c r="C69" s="5" t="s">
        <v>83</v>
      </c>
      <c r="D69" s="4"/>
      <c r="E69" s="4"/>
      <c r="F69" s="4"/>
      <c r="G69" s="4"/>
      <c r="H69" s="4"/>
      <c r="I69" s="16" t="str">
        <f t="shared" si="0"/>
        <v/>
      </c>
      <c r="J69" s="16" t="str">
        <f t="shared" si="1"/>
        <v/>
      </c>
      <c r="K69" s="16" t="str">
        <f t="shared" si="2"/>
        <v/>
      </c>
    </row>
    <row r="70" spans="1:11">
      <c r="A70" s="4" t="s">
        <v>488</v>
      </c>
      <c r="B70" s="5" t="s">
        <v>487</v>
      </c>
      <c r="C70" s="5" t="s">
        <v>83</v>
      </c>
      <c r="D70" s="4"/>
      <c r="E70" s="4"/>
      <c r="F70" s="4"/>
      <c r="G70" s="4"/>
      <c r="H70" s="4"/>
      <c r="I70" s="16" t="str">
        <f t="shared" si="0"/>
        <v/>
      </c>
      <c r="J70" s="16" t="str">
        <f t="shared" si="1"/>
        <v/>
      </c>
      <c r="K70" s="16" t="str">
        <f t="shared" si="2"/>
        <v/>
      </c>
    </row>
    <row r="71" spans="1:11">
      <c r="A71" s="4" t="s">
        <v>486</v>
      </c>
      <c r="B71" s="5" t="s">
        <v>485</v>
      </c>
      <c r="C71" s="5" t="s">
        <v>83</v>
      </c>
      <c r="D71" s="4"/>
      <c r="E71" s="4"/>
      <c r="F71" s="4"/>
      <c r="G71" s="4"/>
      <c r="H71" s="4"/>
      <c r="I71" s="16" t="str">
        <f t="shared" ref="I71:I88" si="3">IF(F71="","",IF(F71="A",4,IF(F71="B+",3.5,IF(F71="B",3,IF(F71="C+",2.5,IF(F71="C",2,IF(F71="D+",1.5,IF(F71="D",1,IF(F71="F",0,IF(F71="S","เทียบโอน",""))))))))))</f>
        <v/>
      </c>
      <c r="J71" s="16" t="str">
        <f t="shared" ref="J71:J88" si="4">IF(OR(F71="",F71="S",F71="s",F71="I"),"",_xlfn.NUMBERVALUE(LEFT(C71,1)))</f>
        <v/>
      </c>
      <c r="K71" s="16" t="str">
        <f t="shared" ref="K71:K88" si="5">IF(OR(I71="",J71=""),"",I71*J71)</f>
        <v/>
      </c>
    </row>
    <row r="72" spans="1:11">
      <c r="A72" s="4" t="s">
        <v>484</v>
      </c>
      <c r="B72" s="5" t="s">
        <v>483</v>
      </c>
      <c r="C72" s="5" t="s">
        <v>83</v>
      </c>
      <c r="D72" s="4"/>
      <c r="E72" s="4"/>
      <c r="F72" s="4"/>
      <c r="G72" s="4"/>
      <c r="H72" s="4"/>
      <c r="I72" s="16" t="str">
        <f t="shared" si="3"/>
        <v/>
      </c>
      <c r="J72" s="16" t="str">
        <f t="shared" si="4"/>
        <v/>
      </c>
      <c r="K72" s="16" t="str">
        <f t="shared" si="5"/>
        <v/>
      </c>
    </row>
    <row r="73" spans="1:11">
      <c r="A73" s="4" t="s">
        <v>482</v>
      </c>
      <c r="B73" s="5" t="s">
        <v>481</v>
      </c>
      <c r="C73" s="5" t="s">
        <v>83</v>
      </c>
      <c r="D73" s="4"/>
      <c r="E73" s="4"/>
      <c r="F73" s="4"/>
      <c r="G73" s="4"/>
      <c r="H73" s="4"/>
      <c r="I73" s="16" t="str">
        <f t="shared" si="3"/>
        <v/>
      </c>
      <c r="J73" s="16" t="str">
        <f t="shared" si="4"/>
        <v/>
      </c>
      <c r="K73" s="16" t="str">
        <f t="shared" si="5"/>
        <v/>
      </c>
    </row>
    <row r="74" spans="1:11">
      <c r="A74" s="4" t="s">
        <v>480</v>
      </c>
      <c r="B74" s="5" t="s">
        <v>479</v>
      </c>
      <c r="C74" s="5" t="s">
        <v>83</v>
      </c>
      <c r="D74" s="4"/>
      <c r="E74" s="4"/>
      <c r="F74" s="4"/>
      <c r="G74" s="4"/>
      <c r="H74" s="4"/>
      <c r="I74" s="16" t="str">
        <f t="shared" si="3"/>
        <v/>
      </c>
      <c r="J74" s="16" t="str">
        <f t="shared" si="4"/>
        <v/>
      </c>
      <c r="K74" s="16" t="str">
        <f t="shared" si="5"/>
        <v/>
      </c>
    </row>
    <row r="75" spans="1:11">
      <c r="A75" s="4" t="s">
        <v>478</v>
      </c>
      <c r="B75" s="5" t="s">
        <v>477</v>
      </c>
      <c r="C75" s="5" t="s">
        <v>83</v>
      </c>
      <c r="D75" s="4"/>
      <c r="E75" s="4"/>
      <c r="F75" s="4"/>
      <c r="G75" s="4"/>
      <c r="H75" s="4"/>
      <c r="I75" s="16" t="str">
        <f t="shared" si="3"/>
        <v/>
      </c>
      <c r="J75" s="16" t="str">
        <f t="shared" si="4"/>
        <v/>
      </c>
      <c r="K75" s="16" t="str">
        <f t="shared" si="5"/>
        <v/>
      </c>
    </row>
    <row r="76" spans="1:11">
      <c r="A76" s="4" t="s">
        <v>476</v>
      </c>
      <c r="B76" s="5" t="s">
        <v>475</v>
      </c>
      <c r="C76" s="5" t="s">
        <v>83</v>
      </c>
      <c r="D76" s="4"/>
      <c r="E76" s="4"/>
      <c r="F76" s="4"/>
      <c r="G76" s="4"/>
      <c r="H76" s="4"/>
      <c r="I76" s="16" t="str">
        <f t="shared" si="3"/>
        <v/>
      </c>
      <c r="J76" s="16" t="str">
        <f t="shared" si="4"/>
        <v/>
      </c>
      <c r="K76" s="16" t="str">
        <f t="shared" si="5"/>
        <v/>
      </c>
    </row>
    <row r="77" spans="1:11">
      <c r="A77" s="4" t="s">
        <v>474</v>
      </c>
      <c r="B77" s="5" t="s">
        <v>473</v>
      </c>
      <c r="C77" s="5" t="s">
        <v>83</v>
      </c>
      <c r="D77" s="4"/>
      <c r="E77" s="4"/>
      <c r="F77" s="4"/>
      <c r="G77" s="4"/>
      <c r="H77" s="4"/>
      <c r="I77" s="16" t="str">
        <f t="shared" si="3"/>
        <v/>
      </c>
      <c r="J77" s="16" t="str">
        <f t="shared" si="4"/>
        <v/>
      </c>
      <c r="K77" s="16" t="str">
        <f t="shared" si="5"/>
        <v/>
      </c>
    </row>
    <row r="78" spans="1:11">
      <c r="A78" s="4" t="s">
        <v>472</v>
      </c>
      <c r="B78" s="5" t="s">
        <v>471</v>
      </c>
      <c r="C78" s="5" t="s">
        <v>83</v>
      </c>
      <c r="D78" s="4"/>
      <c r="E78" s="4"/>
      <c r="F78" s="4"/>
      <c r="G78" s="4"/>
      <c r="H78" s="4"/>
      <c r="I78" s="16" t="str">
        <f t="shared" si="3"/>
        <v/>
      </c>
      <c r="J78" s="16" t="str">
        <f t="shared" si="4"/>
        <v/>
      </c>
      <c r="K78" s="16" t="str">
        <f t="shared" si="5"/>
        <v/>
      </c>
    </row>
    <row r="79" spans="1:11">
      <c r="A79" s="9" t="s">
        <v>500</v>
      </c>
      <c r="B79" s="10"/>
      <c r="C79" s="10"/>
      <c r="D79" s="9"/>
      <c r="E79" s="9"/>
      <c r="F79" s="9"/>
      <c r="G79" s="9"/>
      <c r="H79" s="9" t="s">
        <v>324</v>
      </c>
      <c r="I79" s="16" t="str">
        <f t="shared" si="3"/>
        <v/>
      </c>
      <c r="J79" s="16" t="str">
        <f t="shared" si="4"/>
        <v/>
      </c>
      <c r="K79" s="16" t="str">
        <f t="shared" si="5"/>
        <v/>
      </c>
    </row>
    <row r="80" spans="1:11">
      <c r="A80" s="11" t="s">
        <v>384</v>
      </c>
      <c r="B80" s="3"/>
      <c r="C80" s="3"/>
      <c r="D80" s="2"/>
      <c r="E80" s="2"/>
      <c r="F80" s="2"/>
      <c r="G80" s="2"/>
      <c r="H80" s="2"/>
      <c r="I80" s="16" t="str">
        <f t="shared" si="3"/>
        <v/>
      </c>
      <c r="J80" s="16" t="str">
        <f t="shared" si="4"/>
        <v/>
      </c>
      <c r="K80" s="16" t="str">
        <f t="shared" si="5"/>
        <v/>
      </c>
    </row>
    <row r="81" spans="1:11">
      <c r="A81" s="4" t="s">
        <v>436</v>
      </c>
      <c r="B81" s="5" t="s">
        <v>435</v>
      </c>
      <c r="C81" s="5" t="s">
        <v>211</v>
      </c>
      <c r="D81" s="4"/>
      <c r="E81" s="4"/>
      <c r="F81" s="4"/>
      <c r="G81" s="4"/>
      <c r="H81" s="4"/>
      <c r="I81" s="16" t="str">
        <f t="shared" si="3"/>
        <v/>
      </c>
      <c r="J81" s="16" t="str">
        <f t="shared" si="4"/>
        <v/>
      </c>
      <c r="K81" s="16" t="str">
        <f t="shared" si="5"/>
        <v/>
      </c>
    </row>
    <row r="82" spans="1:11">
      <c r="A82" s="4" t="s">
        <v>434</v>
      </c>
      <c r="B82" s="5" t="s">
        <v>433</v>
      </c>
      <c r="C82" s="5" t="s">
        <v>211</v>
      </c>
      <c r="D82" s="4"/>
      <c r="E82" s="4"/>
      <c r="F82" s="4"/>
      <c r="G82" s="4"/>
      <c r="H82" s="4"/>
      <c r="I82" s="16" t="str">
        <f t="shared" si="3"/>
        <v/>
      </c>
      <c r="J82" s="16" t="str">
        <f t="shared" si="4"/>
        <v/>
      </c>
      <c r="K82" s="16" t="str">
        <f t="shared" si="5"/>
        <v/>
      </c>
    </row>
    <row r="83" spans="1:11">
      <c r="A83" s="11" t="s">
        <v>385</v>
      </c>
      <c r="B83" s="3"/>
      <c r="C83" s="3"/>
      <c r="D83" s="2"/>
      <c r="E83" s="2"/>
      <c r="F83" s="2"/>
      <c r="G83" s="2"/>
      <c r="H83" s="2"/>
      <c r="I83" s="16" t="str">
        <f t="shared" si="3"/>
        <v/>
      </c>
      <c r="J83" s="16" t="str">
        <f t="shared" si="4"/>
        <v/>
      </c>
      <c r="K83" s="16" t="str">
        <f t="shared" si="5"/>
        <v/>
      </c>
    </row>
    <row r="84" spans="1:11">
      <c r="A84" s="4" t="s">
        <v>437</v>
      </c>
      <c r="B84" s="5" t="s">
        <v>136</v>
      </c>
      <c r="C84" s="5" t="s">
        <v>138</v>
      </c>
      <c r="D84" s="4"/>
      <c r="E84" s="4"/>
      <c r="F84" s="4"/>
      <c r="G84" s="4"/>
      <c r="H84" s="4"/>
      <c r="I84" s="16" t="str">
        <f t="shared" si="3"/>
        <v/>
      </c>
      <c r="J84" s="16" t="str">
        <f t="shared" si="4"/>
        <v/>
      </c>
      <c r="K84" s="16" t="str">
        <f t="shared" si="5"/>
        <v/>
      </c>
    </row>
    <row r="85" spans="1:11">
      <c r="A85" s="1" t="s">
        <v>278</v>
      </c>
      <c r="B85" s="1"/>
      <c r="C85" s="8"/>
      <c r="D85" s="1"/>
      <c r="E85" s="1"/>
      <c r="F85" s="1"/>
      <c r="G85" s="1"/>
      <c r="H85" s="1"/>
      <c r="I85" s="16" t="str">
        <f t="shared" si="3"/>
        <v/>
      </c>
      <c r="J85" s="16" t="str">
        <f t="shared" si="4"/>
        <v/>
      </c>
      <c r="K85" s="16" t="str">
        <f t="shared" si="5"/>
        <v/>
      </c>
    </row>
    <row r="86" spans="1:11">
      <c r="A86" s="4"/>
      <c r="B86" s="5"/>
      <c r="C86" s="5"/>
      <c r="D86" s="4"/>
      <c r="E86" s="4"/>
      <c r="F86" s="4"/>
      <c r="G86" s="4"/>
      <c r="H86" s="4"/>
      <c r="I86" s="16" t="str">
        <f t="shared" si="3"/>
        <v/>
      </c>
      <c r="J86" s="16" t="str">
        <f t="shared" si="4"/>
        <v/>
      </c>
      <c r="K86" s="16" t="str">
        <f t="shared" si="5"/>
        <v/>
      </c>
    </row>
    <row r="87" spans="1:11">
      <c r="A87" s="4"/>
      <c r="B87" s="5"/>
      <c r="C87" s="5"/>
      <c r="D87" s="4"/>
      <c r="E87" s="4"/>
      <c r="F87" s="4"/>
      <c r="G87" s="4"/>
      <c r="H87" s="4"/>
      <c r="I87" s="16" t="str">
        <f t="shared" si="3"/>
        <v/>
      </c>
      <c r="J87" s="16" t="str">
        <f t="shared" si="4"/>
        <v/>
      </c>
      <c r="K87" s="16" t="str">
        <f t="shared" si="5"/>
        <v/>
      </c>
    </row>
    <row r="88" spans="1:11">
      <c r="A88" s="4"/>
      <c r="B88" s="5"/>
      <c r="C88" s="5"/>
      <c r="D88" s="4"/>
      <c r="E88" s="4"/>
      <c r="F88" s="4"/>
      <c r="G88" s="4"/>
      <c r="H88" s="4"/>
      <c r="I88" s="16" t="str">
        <f t="shared" si="3"/>
        <v/>
      </c>
      <c r="J88" s="16" t="str">
        <f t="shared" si="4"/>
        <v/>
      </c>
      <c r="K88" s="16" t="str">
        <f t="shared" si="5"/>
        <v/>
      </c>
    </row>
  </sheetData>
  <mergeCells count="8">
    <mergeCell ref="A1:H1"/>
    <mergeCell ref="A3:A4"/>
    <mergeCell ref="B3:B4"/>
    <mergeCell ref="C3:C4"/>
    <mergeCell ref="D3:E3"/>
    <mergeCell ref="F3:F4"/>
    <mergeCell ref="G3:G4"/>
    <mergeCell ref="H3:H4"/>
  </mergeCells>
  <conditionalFormatting sqref="A86:F88">
    <cfRule type="expression" dxfId="10" priority="2">
      <formula>AND($D86&lt;&gt;"",$E86&lt;&gt;"")</formula>
    </cfRule>
  </conditionalFormatting>
  <conditionalFormatting sqref="A7:G12">
    <cfRule type="expression" dxfId="9" priority="13">
      <formula>AND($D7&lt;&gt;"",$E7&lt;&gt;"")</formula>
    </cfRule>
  </conditionalFormatting>
  <conditionalFormatting sqref="A15:G21">
    <cfRule type="expression" dxfId="8" priority="12">
      <formula>AND($D15&lt;&gt;"",$E15&lt;&gt;"")</formula>
    </cfRule>
  </conditionalFormatting>
  <conditionalFormatting sqref="A24:G29">
    <cfRule type="expression" dxfId="7" priority="11">
      <formula>AND($D24&lt;&gt;"",$E24&lt;&gt;"")</formula>
    </cfRule>
  </conditionalFormatting>
  <conditionalFormatting sqref="A31:G33 A81:G82 A84:F84">
    <cfRule type="expression" dxfId="6" priority="3">
      <formula>AND($D31&lt;&gt;"",$E31&lt;&gt;"")</formula>
    </cfRule>
  </conditionalFormatting>
  <conditionalFormatting sqref="A35:G38">
    <cfRule type="expression" dxfId="5" priority="9">
      <formula>AND($D35&lt;&gt;"",$E35&lt;&gt;"")</formula>
    </cfRule>
  </conditionalFormatting>
  <conditionalFormatting sqref="A40:G43 A45:G45">
    <cfRule type="expression" dxfId="4" priority="8">
      <formula>AND($D40&lt;&gt;"",$E40&lt;&gt;"")</formula>
    </cfRule>
  </conditionalFormatting>
  <conditionalFormatting sqref="A48:G53">
    <cfRule type="expression" dxfId="3" priority="7">
      <formula>AND($D48&lt;&gt;"",$E48&lt;&gt;"")</formula>
    </cfRule>
  </conditionalFormatting>
  <conditionalFormatting sqref="A55:G60">
    <cfRule type="expression" dxfId="2" priority="1">
      <formula>AND($D55&lt;&gt;"",$E55&lt;&gt;"")</formula>
    </cfRule>
  </conditionalFormatting>
  <conditionalFormatting sqref="A62:G67">
    <cfRule type="expression" dxfId="1" priority="6">
      <formula>AND($D62&lt;&gt;"",$E62&lt;&gt;"")</formula>
    </cfRule>
  </conditionalFormatting>
  <conditionalFormatting sqref="A69:G78">
    <cfRule type="expression" dxfId="0" priority="5">
      <formula>AND($D69&lt;&gt;"",$E69&lt;&gt;"")</formula>
    </cfRule>
  </conditionalFormatting>
  <printOptions horizontalCentered="1"/>
  <pageMargins left="0.39370078740157483" right="0.39370078740157483" top="0.39370078740157483" bottom="0.39370078740157483" header="0.19685039370078741" footer="0.19685039370078741"/>
  <pageSetup paperSize="9" fitToHeight="6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22"/>
  <sheetViews>
    <sheetView topLeftCell="D1" zoomScale="115" zoomScaleNormal="115" workbookViewId="0">
      <pane ySplit="4" topLeftCell="A47" activePane="bottomLeft" state="frozen"/>
      <selection activeCell="D1" sqref="D1"/>
      <selection pane="bottomLeft" activeCell="E3" sqref="E3:E4"/>
    </sheetView>
  </sheetViews>
  <sheetFormatPr defaultRowHeight="21"/>
  <cols>
    <col min="1" max="1" width="8.88671875" hidden="1" customWidth="1"/>
    <col min="2" max="2" width="16.21875" hidden="1" customWidth="1"/>
    <col min="3" max="3" width="33.5546875" hidden="1" customWidth="1"/>
    <col min="4" max="4" width="8.77734375" customWidth="1"/>
    <col min="5" max="5" width="31.6640625" customWidth="1"/>
    <col min="6" max="6" width="34.77734375" hidden="1" customWidth="1"/>
    <col min="7" max="7" width="6" customWidth="1"/>
    <col min="8" max="9" width="6.21875" customWidth="1"/>
    <col min="10" max="10" width="4.33203125" bestFit="1" customWidth="1"/>
    <col min="11" max="11" width="11.109375" customWidth="1"/>
    <col min="12" max="12" width="27" customWidth="1"/>
  </cols>
  <sheetData>
    <row r="1" spans="1:12" ht="24.6">
      <c r="D1" s="26" t="s">
        <v>325</v>
      </c>
      <c r="E1" s="26"/>
      <c r="F1" s="26"/>
      <c r="G1" s="26"/>
      <c r="H1" s="26"/>
      <c r="I1" s="26"/>
      <c r="J1" s="26"/>
      <c r="K1" s="26"/>
      <c r="L1" s="26"/>
    </row>
    <row r="2" spans="1:12" ht="13.2" customHeight="1"/>
    <row r="3" spans="1:12">
      <c r="D3" s="27" t="s">
        <v>3</v>
      </c>
      <c r="E3" s="27" t="s">
        <v>4</v>
      </c>
      <c r="F3" s="12"/>
      <c r="G3" s="27" t="s">
        <v>5</v>
      </c>
      <c r="H3" s="29" t="s">
        <v>321</v>
      </c>
      <c r="I3" s="29"/>
      <c r="J3" s="27" t="s">
        <v>318</v>
      </c>
      <c r="K3" s="27" t="s">
        <v>323</v>
      </c>
      <c r="L3" s="27" t="s">
        <v>319</v>
      </c>
    </row>
    <row r="4" spans="1:12">
      <c r="A4" t="s">
        <v>281</v>
      </c>
      <c r="B4" t="s">
        <v>283</v>
      </c>
      <c r="C4" t="s">
        <v>282</v>
      </c>
      <c r="D4" s="28"/>
      <c r="E4" s="28"/>
      <c r="F4" s="13" t="s">
        <v>279</v>
      </c>
      <c r="G4" s="28"/>
      <c r="H4" s="13" t="s">
        <v>320</v>
      </c>
      <c r="I4" s="13" t="s">
        <v>322</v>
      </c>
      <c r="J4" s="28"/>
      <c r="K4" s="28"/>
      <c r="L4" s="28"/>
    </row>
    <row r="5" spans="1:12">
      <c r="D5" s="1" t="s">
        <v>0</v>
      </c>
      <c r="E5" s="1"/>
      <c r="F5" s="1"/>
      <c r="G5" s="8"/>
      <c r="H5" s="1"/>
      <c r="I5" s="1"/>
      <c r="J5" s="1"/>
      <c r="K5" s="1"/>
      <c r="L5" s="1"/>
    </row>
    <row r="6" spans="1:12">
      <c r="A6">
        <v>1</v>
      </c>
      <c r="D6" s="9" t="s">
        <v>1</v>
      </c>
      <c r="E6" s="10"/>
      <c r="F6" s="9"/>
      <c r="G6" s="10"/>
      <c r="H6" s="9"/>
      <c r="I6" s="9"/>
      <c r="J6" s="9"/>
      <c r="K6" s="9"/>
      <c r="L6" s="9"/>
    </row>
    <row r="7" spans="1:12">
      <c r="A7">
        <v>2</v>
      </c>
      <c r="D7" s="6" t="s">
        <v>2</v>
      </c>
      <c r="E7" s="7"/>
      <c r="F7" s="6"/>
      <c r="G7" s="7"/>
      <c r="H7" s="6"/>
      <c r="I7" s="6"/>
      <c r="J7" s="6"/>
      <c r="K7" s="6"/>
      <c r="L7" s="6"/>
    </row>
    <row r="8" spans="1:12">
      <c r="A8">
        <v>3</v>
      </c>
      <c r="B8" t="s">
        <v>284</v>
      </c>
      <c r="C8" t="s">
        <v>285</v>
      </c>
      <c r="D8" s="4" t="s">
        <v>6</v>
      </c>
      <c r="E8" s="5" t="s">
        <v>7</v>
      </c>
      <c r="F8" s="4" t="s">
        <v>8</v>
      </c>
      <c r="G8" s="5" t="s">
        <v>9</v>
      </c>
      <c r="H8" s="4"/>
      <c r="I8" s="4"/>
      <c r="J8" s="4"/>
      <c r="K8" s="4"/>
      <c r="L8" s="4"/>
    </row>
    <row r="9" spans="1:12">
      <c r="A9">
        <v>4</v>
      </c>
      <c r="B9" t="s">
        <v>284</v>
      </c>
      <c r="C9" t="s">
        <v>285</v>
      </c>
      <c r="D9" s="4" t="s">
        <v>10</v>
      </c>
      <c r="E9" s="5" t="s">
        <v>11</v>
      </c>
      <c r="F9" s="4" t="s">
        <v>12</v>
      </c>
      <c r="G9" s="5" t="s">
        <v>9</v>
      </c>
      <c r="H9" s="4"/>
      <c r="I9" s="4"/>
      <c r="J9" s="4"/>
      <c r="K9" s="4"/>
      <c r="L9" s="4"/>
    </row>
    <row r="10" spans="1:12">
      <c r="A10">
        <v>5</v>
      </c>
      <c r="B10" t="s">
        <v>284</v>
      </c>
      <c r="D10" s="6" t="s">
        <v>13</v>
      </c>
      <c r="E10" s="7"/>
      <c r="F10" s="6"/>
      <c r="G10" s="7"/>
      <c r="H10" s="6"/>
      <c r="I10" s="6"/>
      <c r="J10" s="6"/>
      <c r="K10" s="6"/>
      <c r="L10" s="6"/>
    </row>
    <row r="11" spans="1:12">
      <c r="A11">
        <v>7</v>
      </c>
      <c r="B11" t="s">
        <v>284</v>
      </c>
      <c r="C11" t="s">
        <v>286</v>
      </c>
      <c r="D11" s="4" t="s">
        <v>14</v>
      </c>
      <c r="E11" s="5" t="s">
        <v>15</v>
      </c>
      <c r="F11" s="4" t="s">
        <v>16</v>
      </c>
      <c r="G11" s="5" t="s">
        <v>17</v>
      </c>
      <c r="H11" s="4"/>
      <c r="I11" s="4"/>
      <c r="J11" s="4"/>
      <c r="K11" s="4"/>
      <c r="L11" s="4"/>
    </row>
    <row r="12" spans="1:12">
      <c r="A12">
        <v>9</v>
      </c>
      <c r="B12" t="s">
        <v>284</v>
      </c>
      <c r="C12" t="s">
        <v>286</v>
      </c>
      <c r="D12" s="4" t="s">
        <v>18</v>
      </c>
      <c r="E12" s="5" t="s">
        <v>19</v>
      </c>
      <c r="F12" s="4" t="s">
        <v>20</v>
      </c>
      <c r="G12" s="5" t="s">
        <v>17</v>
      </c>
      <c r="H12" s="4"/>
      <c r="I12" s="4"/>
      <c r="J12" s="4"/>
      <c r="K12" s="4"/>
      <c r="L12" s="4"/>
    </row>
    <row r="13" spans="1:12">
      <c r="A13">
        <v>11</v>
      </c>
      <c r="B13" t="s">
        <v>284</v>
      </c>
      <c r="D13" s="6" t="s">
        <v>21</v>
      </c>
      <c r="E13" s="7"/>
      <c r="F13" s="6"/>
      <c r="G13" s="7"/>
      <c r="H13" s="6"/>
      <c r="I13" s="6"/>
      <c r="J13" s="6"/>
      <c r="K13" s="6"/>
      <c r="L13" s="6"/>
    </row>
    <row r="14" spans="1:12">
      <c r="A14">
        <v>13</v>
      </c>
      <c r="B14" t="s">
        <v>284</v>
      </c>
      <c r="C14" t="s">
        <v>287</v>
      </c>
      <c r="D14" s="4" t="s">
        <v>22</v>
      </c>
      <c r="E14" s="5" t="s">
        <v>23</v>
      </c>
      <c r="F14" s="4" t="s">
        <v>24</v>
      </c>
      <c r="G14" s="5" t="s">
        <v>9</v>
      </c>
      <c r="H14" s="4"/>
      <c r="I14" s="4"/>
      <c r="J14" s="4"/>
      <c r="K14" s="4"/>
      <c r="L14" s="4"/>
    </row>
    <row r="15" spans="1:12">
      <c r="A15">
        <v>15</v>
      </c>
      <c r="B15" t="s">
        <v>284</v>
      </c>
      <c r="C15" t="s">
        <v>287</v>
      </c>
      <c r="D15" s="4" t="s">
        <v>25</v>
      </c>
      <c r="E15" s="5" t="s">
        <v>26</v>
      </c>
      <c r="F15" s="4" t="s">
        <v>27</v>
      </c>
      <c r="G15" s="5" t="s">
        <v>9</v>
      </c>
      <c r="H15" s="4"/>
      <c r="I15" s="4"/>
      <c r="J15" s="4"/>
      <c r="K15" s="4"/>
      <c r="L15" s="4"/>
    </row>
    <row r="16" spans="1:12">
      <c r="A16">
        <v>17</v>
      </c>
      <c r="B16" t="s">
        <v>284</v>
      </c>
      <c r="D16" s="6" t="s">
        <v>28</v>
      </c>
      <c r="E16" s="7"/>
      <c r="F16" s="6"/>
      <c r="G16" s="7"/>
      <c r="H16" s="6"/>
      <c r="I16" s="6"/>
      <c r="J16" s="6"/>
      <c r="K16" s="6"/>
      <c r="L16" s="6"/>
    </row>
    <row r="17" spans="1:12">
      <c r="A17">
        <v>19</v>
      </c>
      <c r="B17" t="s">
        <v>284</v>
      </c>
      <c r="C17" t="s">
        <v>288</v>
      </c>
      <c r="D17" s="4" t="s">
        <v>29</v>
      </c>
      <c r="E17" s="5" t="s">
        <v>30</v>
      </c>
      <c r="F17" s="4" t="s">
        <v>31</v>
      </c>
      <c r="G17" s="5" t="s">
        <v>9</v>
      </c>
      <c r="H17" s="4"/>
      <c r="I17" s="4"/>
      <c r="J17" s="4"/>
      <c r="K17" s="4"/>
      <c r="L17" s="4"/>
    </row>
    <row r="18" spans="1:12">
      <c r="A18">
        <v>21</v>
      </c>
      <c r="B18" t="s">
        <v>284</v>
      </c>
      <c r="C18" t="s">
        <v>288</v>
      </c>
      <c r="D18" s="4" t="s">
        <v>32</v>
      </c>
      <c r="E18" s="5" t="s">
        <v>33</v>
      </c>
      <c r="F18" s="4" t="s">
        <v>34</v>
      </c>
      <c r="G18" s="5" t="s">
        <v>9</v>
      </c>
      <c r="H18" s="4"/>
      <c r="I18" s="4"/>
      <c r="J18" s="4"/>
      <c r="K18" s="4"/>
      <c r="L18" s="4"/>
    </row>
    <row r="19" spans="1:12">
      <c r="A19">
        <v>23</v>
      </c>
      <c r="D19" s="9" t="s">
        <v>35</v>
      </c>
      <c r="E19" s="10"/>
      <c r="F19" s="9"/>
      <c r="G19" s="10"/>
      <c r="H19" s="9"/>
      <c r="I19" s="9"/>
      <c r="J19" s="9"/>
      <c r="K19" s="9"/>
      <c r="L19" s="9"/>
    </row>
    <row r="20" spans="1:12">
      <c r="A20">
        <v>24</v>
      </c>
      <c r="D20" s="6" t="s">
        <v>36</v>
      </c>
      <c r="E20" s="7"/>
      <c r="F20" s="6"/>
      <c r="G20" s="7"/>
      <c r="H20" s="6"/>
      <c r="I20" s="6"/>
      <c r="J20" s="6"/>
      <c r="K20" s="6"/>
      <c r="L20" s="6"/>
    </row>
    <row r="21" spans="1:12">
      <c r="A21">
        <v>26</v>
      </c>
      <c r="B21" t="s">
        <v>289</v>
      </c>
      <c r="C21" t="s">
        <v>290</v>
      </c>
      <c r="D21" s="4" t="s">
        <v>37</v>
      </c>
      <c r="E21" s="5" t="s">
        <v>38</v>
      </c>
      <c r="F21" s="4" t="s">
        <v>39</v>
      </c>
      <c r="G21" s="5" t="s">
        <v>9</v>
      </c>
      <c r="H21" s="4"/>
      <c r="I21" s="4"/>
      <c r="J21" s="4"/>
      <c r="K21" s="4"/>
      <c r="L21" s="4"/>
    </row>
    <row r="22" spans="1:12">
      <c r="A22">
        <v>28</v>
      </c>
      <c r="B22" t="s">
        <v>289</v>
      </c>
      <c r="C22" t="s">
        <v>290</v>
      </c>
      <c r="D22" s="4" t="s">
        <v>40</v>
      </c>
      <c r="E22" s="5" t="s">
        <v>41</v>
      </c>
      <c r="F22" s="4" t="s">
        <v>42</v>
      </c>
      <c r="G22" s="5" t="s">
        <v>9</v>
      </c>
      <c r="H22" s="4"/>
      <c r="I22" s="4"/>
      <c r="J22" s="4"/>
      <c r="K22" s="4"/>
      <c r="L22" s="4"/>
    </row>
    <row r="23" spans="1:12">
      <c r="A23">
        <v>30</v>
      </c>
      <c r="B23" t="s">
        <v>289</v>
      </c>
      <c r="D23" s="6" t="s">
        <v>43</v>
      </c>
      <c r="E23" s="7"/>
      <c r="F23" s="6"/>
      <c r="G23" s="7"/>
      <c r="H23" s="6"/>
      <c r="I23" s="6"/>
      <c r="J23" s="6"/>
      <c r="K23" s="6"/>
      <c r="L23" s="6"/>
    </row>
    <row r="24" spans="1:12">
      <c r="A24">
        <v>32</v>
      </c>
      <c r="B24" t="s">
        <v>289</v>
      </c>
      <c r="C24" t="s">
        <v>291</v>
      </c>
      <c r="D24" s="4" t="s">
        <v>44</v>
      </c>
      <c r="E24" s="5" t="s">
        <v>45</v>
      </c>
      <c r="F24" s="4" t="s">
        <v>46</v>
      </c>
      <c r="G24" s="5" t="s">
        <v>9</v>
      </c>
      <c r="H24" s="4"/>
      <c r="I24" s="4"/>
      <c r="J24" s="4"/>
      <c r="K24" s="4"/>
      <c r="L24" s="4"/>
    </row>
    <row r="25" spans="1:12">
      <c r="A25">
        <v>34</v>
      </c>
      <c r="B25" t="s">
        <v>289</v>
      </c>
      <c r="C25" t="s">
        <v>291</v>
      </c>
      <c r="D25" s="4" t="s">
        <v>47</v>
      </c>
      <c r="E25" s="5" t="s">
        <v>48</v>
      </c>
      <c r="F25" s="4" t="s">
        <v>49</v>
      </c>
      <c r="G25" s="5" t="s">
        <v>9</v>
      </c>
      <c r="H25" s="4"/>
      <c r="I25" s="4"/>
      <c r="J25" s="4"/>
      <c r="K25" s="4"/>
      <c r="L25" s="4"/>
    </row>
    <row r="26" spans="1:12">
      <c r="A26">
        <v>36</v>
      </c>
      <c r="B26" t="s">
        <v>289</v>
      </c>
      <c r="D26" s="6" t="s">
        <v>50</v>
      </c>
      <c r="E26" s="7"/>
      <c r="F26" s="6"/>
      <c r="G26" s="7"/>
      <c r="H26" s="6"/>
      <c r="I26" s="6"/>
      <c r="J26" s="6"/>
      <c r="K26" s="6"/>
      <c r="L26" s="6"/>
    </row>
    <row r="27" spans="1:12">
      <c r="A27">
        <v>38</v>
      </c>
      <c r="B27" t="s">
        <v>289</v>
      </c>
      <c r="C27" t="s">
        <v>292</v>
      </c>
      <c r="D27" s="4" t="s">
        <v>51</v>
      </c>
      <c r="E27" s="5" t="s">
        <v>52</v>
      </c>
      <c r="F27" s="4" t="s">
        <v>53</v>
      </c>
      <c r="G27" s="5" t="s">
        <v>9</v>
      </c>
      <c r="H27" s="4"/>
      <c r="I27" s="4"/>
      <c r="J27" s="4"/>
      <c r="K27" s="4"/>
      <c r="L27" s="4"/>
    </row>
    <row r="28" spans="1:12">
      <c r="A28">
        <v>40</v>
      </c>
      <c r="B28" t="s">
        <v>289</v>
      </c>
      <c r="C28" t="s">
        <v>292</v>
      </c>
      <c r="D28" s="4" t="s">
        <v>54</v>
      </c>
      <c r="E28" s="5" t="s">
        <v>55</v>
      </c>
      <c r="F28" s="4" t="s">
        <v>56</v>
      </c>
      <c r="G28" s="5" t="s">
        <v>9</v>
      </c>
      <c r="H28" s="4"/>
      <c r="I28" s="4"/>
      <c r="J28" s="4"/>
      <c r="K28" s="4"/>
      <c r="L28" s="4"/>
    </row>
    <row r="29" spans="1:12">
      <c r="A29">
        <v>42</v>
      </c>
      <c r="D29" s="9" t="s">
        <v>57</v>
      </c>
      <c r="E29" s="10"/>
      <c r="F29" s="9"/>
      <c r="G29" s="10"/>
      <c r="H29" s="9"/>
      <c r="I29" s="9"/>
      <c r="J29" s="9"/>
      <c r="K29" s="9"/>
      <c r="L29" s="9"/>
    </row>
    <row r="30" spans="1:12">
      <c r="A30">
        <v>43</v>
      </c>
      <c r="D30" s="6" t="s">
        <v>58</v>
      </c>
      <c r="E30" s="7"/>
      <c r="F30" s="6"/>
      <c r="G30" s="7"/>
      <c r="H30" s="6"/>
      <c r="I30" s="6"/>
      <c r="J30" s="6"/>
      <c r="K30" s="6"/>
      <c r="L30" s="6"/>
    </row>
    <row r="31" spans="1:12">
      <c r="A31">
        <v>45</v>
      </c>
      <c r="B31" t="s">
        <v>293</v>
      </c>
      <c r="C31" t="s">
        <v>294</v>
      </c>
      <c r="D31" s="4" t="s">
        <v>59</v>
      </c>
      <c r="E31" s="5" t="s">
        <v>60</v>
      </c>
      <c r="F31" s="4" t="s">
        <v>61</v>
      </c>
      <c r="G31" s="5" t="s">
        <v>9</v>
      </c>
      <c r="H31" s="4"/>
      <c r="I31" s="4"/>
      <c r="J31" s="4"/>
      <c r="K31" s="4"/>
      <c r="L31" s="4"/>
    </row>
    <row r="32" spans="1:12">
      <c r="A32">
        <v>47</v>
      </c>
      <c r="B32" t="s">
        <v>293</v>
      </c>
      <c r="C32" t="s">
        <v>294</v>
      </c>
      <c r="D32" s="4" t="s">
        <v>62</v>
      </c>
      <c r="E32" s="5" t="s">
        <v>63</v>
      </c>
      <c r="F32" s="4" t="s">
        <v>64</v>
      </c>
      <c r="G32" s="5" t="s">
        <v>9</v>
      </c>
      <c r="H32" s="4"/>
      <c r="I32" s="4"/>
      <c r="J32" s="4"/>
      <c r="K32" s="4"/>
      <c r="L32" s="4"/>
    </row>
    <row r="33" spans="1:12">
      <c r="A33">
        <v>49</v>
      </c>
      <c r="B33" t="s">
        <v>293</v>
      </c>
      <c r="D33" s="6" t="s">
        <v>65</v>
      </c>
      <c r="E33" s="7"/>
      <c r="F33" s="6"/>
      <c r="G33" s="7"/>
      <c r="H33" s="6"/>
      <c r="I33" s="6"/>
      <c r="J33" s="6"/>
      <c r="K33" s="6"/>
      <c r="L33" s="6"/>
    </row>
    <row r="34" spans="1:12">
      <c r="A34">
        <v>51</v>
      </c>
      <c r="B34" t="s">
        <v>293</v>
      </c>
      <c r="C34" t="s">
        <v>295</v>
      </c>
      <c r="D34" s="4" t="s">
        <v>66</v>
      </c>
      <c r="E34" s="5" t="s">
        <v>67</v>
      </c>
      <c r="F34" s="4" t="s">
        <v>68</v>
      </c>
      <c r="G34" s="5" t="s">
        <v>9</v>
      </c>
      <c r="H34" s="4"/>
      <c r="I34" s="4"/>
      <c r="J34" s="4"/>
      <c r="K34" s="4"/>
      <c r="L34" s="4"/>
    </row>
    <row r="35" spans="1:12">
      <c r="A35">
        <v>53</v>
      </c>
      <c r="B35" t="s">
        <v>293</v>
      </c>
      <c r="C35" t="s">
        <v>295</v>
      </c>
      <c r="D35" s="4" t="s">
        <v>69</v>
      </c>
      <c r="E35" s="5" t="s">
        <v>70</v>
      </c>
      <c r="F35" s="4" t="s">
        <v>71</v>
      </c>
      <c r="G35" s="5" t="s">
        <v>9</v>
      </c>
      <c r="H35" s="4"/>
      <c r="I35" s="4"/>
      <c r="J35" s="4"/>
      <c r="K35" s="4"/>
      <c r="L35" s="4"/>
    </row>
    <row r="36" spans="1:12">
      <c r="A36">
        <v>55</v>
      </c>
      <c r="B36" t="s">
        <v>293</v>
      </c>
      <c r="D36" s="6" t="s">
        <v>72</v>
      </c>
      <c r="E36" s="7"/>
      <c r="F36" s="6"/>
      <c r="G36" s="7"/>
      <c r="H36" s="6"/>
      <c r="I36" s="6"/>
      <c r="J36" s="6"/>
      <c r="K36" s="6"/>
      <c r="L36" s="6"/>
    </row>
    <row r="37" spans="1:12">
      <c r="A37">
        <v>57</v>
      </c>
      <c r="B37" t="s">
        <v>293</v>
      </c>
      <c r="C37" t="s">
        <v>296</v>
      </c>
      <c r="D37" s="4" t="s">
        <v>73</v>
      </c>
      <c r="E37" s="5" t="s">
        <v>74</v>
      </c>
      <c r="F37" s="4" t="s">
        <v>75</v>
      </c>
      <c r="G37" s="5" t="s">
        <v>9</v>
      </c>
      <c r="H37" s="4"/>
      <c r="I37" s="4"/>
      <c r="J37" s="4"/>
      <c r="K37" s="4"/>
      <c r="L37" s="4"/>
    </row>
    <row r="38" spans="1:12">
      <c r="A38">
        <v>59</v>
      </c>
      <c r="B38" t="s">
        <v>293</v>
      </c>
      <c r="C38" t="s">
        <v>296</v>
      </c>
      <c r="D38" s="4" t="s">
        <v>76</v>
      </c>
      <c r="E38" s="5" t="s">
        <v>77</v>
      </c>
      <c r="F38" s="4" t="s">
        <v>78</v>
      </c>
      <c r="G38" s="5" t="s">
        <v>9</v>
      </c>
      <c r="H38" s="4"/>
      <c r="I38" s="4"/>
      <c r="J38" s="4"/>
      <c r="K38" s="4"/>
      <c r="L38" s="4"/>
    </row>
    <row r="39" spans="1:12">
      <c r="A39">
        <v>61</v>
      </c>
      <c r="B39" t="s">
        <v>293</v>
      </c>
      <c r="D39" s="6" t="s">
        <v>79</v>
      </c>
      <c r="E39" s="7"/>
      <c r="F39" s="6"/>
      <c r="G39" s="7"/>
      <c r="H39" s="6"/>
      <c r="I39" s="6"/>
      <c r="J39" s="6"/>
      <c r="K39" s="6"/>
      <c r="L39" s="6"/>
    </row>
    <row r="40" spans="1:12">
      <c r="A40" s="4">
        <v>63</v>
      </c>
      <c r="B40" s="4" t="s">
        <v>293</v>
      </c>
      <c r="C40" s="4" t="s">
        <v>297</v>
      </c>
      <c r="D40" s="4" t="s">
        <v>80</v>
      </c>
      <c r="E40" s="5" t="s">
        <v>81</v>
      </c>
      <c r="F40" s="4" t="s">
        <v>82</v>
      </c>
      <c r="G40" s="5" t="s">
        <v>83</v>
      </c>
      <c r="H40" s="4"/>
      <c r="I40" s="4"/>
      <c r="J40" s="4"/>
      <c r="K40" s="4"/>
      <c r="L40" s="4"/>
    </row>
    <row r="41" spans="1:12">
      <c r="A41" s="4">
        <v>65</v>
      </c>
      <c r="B41" s="4" t="s">
        <v>293</v>
      </c>
      <c r="C41" s="4" t="s">
        <v>297</v>
      </c>
      <c r="D41" s="4" t="s">
        <v>84</v>
      </c>
      <c r="E41" s="5" t="s">
        <v>85</v>
      </c>
      <c r="F41" s="4" t="s">
        <v>86</v>
      </c>
      <c r="G41" s="5" t="s">
        <v>83</v>
      </c>
      <c r="H41" s="4"/>
      <c r="I41" s="4"/>
      <c r="J41" s="4"/>
      <c r="K41" s="4"/>
      <c r="L41" s="4"/>
    </row>
    <row r="42" spans="1:12">
      <c r="A42">
        <v>67</v>
      </c>
      <c r="D42" s="9" t="s">
        <v>87</v>
      </c>
      <c r="E42" s="10"/>
      <c r="F42" s="9"/>
      <c r="G42" s="10"/>
      <c r="H42" s="9"/>
      <c r="I42" s="9"/>
      <c r="J42" s="9"/>
      <c r="K42" s="9"/>
      <c r="L42" s="9"/>
    </row>
    <row r="43" spans="1:12">
      <c r="A43">
        <v>68</v>
      </c>
      <c r="D43" s="6" t="s">
        <v>88</v>
      </c>
      <c r="E43" s="7"/>
      <c r="F43" s="6"/>
      <c r="G43" s="7"/>
      <c r="H43" s="6"/>
      <c r="I43" s="6"/>
      <c r="J43" s="6"/>
      <c r="K43" s="6"/>
      <c r="L43" s="6"/>
    </row>
    <row r="44" spans="1:12">
      <c r="A44">
        <v>70</v>
      </c>
      <c r="B44" t="s">
        <v>298</v>
      </c>
      <c r="C44" t="s">
        <v>299</v>
      </c>
      <c r="D44" s="4" t="s">
        <v>89</v>
      </c>
      <c r="E44" s="5" t="s">
        <v>90</v>
      </c>
      <c r="F44" s="4" t="s">
        <v>91</v>
      </c>
      <c r="G44" s="5" t="s">
        <v>17</v>
      </c>
      <c r="H44" s="4"/>
      <c r="I44" s="4"/>
      <c r="J44" s="4"/>
      <c r="K44" s="4"/>
      <c r="L44" s="4"/>
    </row>
    <row r="45" spans="1:12">
      <c r="A45">
        <v>72</v>
      </c>
      <c r="B45" t="s">
        <v>298</v>
      </c>
      <c r="C45" t="s">
        <v>299</v>
      </c>
      <c r="D45" s="4" t="s">
        <v>92</v>
      </c>
      <c r="E45" s="5" t="s">
        <v>93</v>
      </c>
      <c r="F45" s="4" t="s">
        <v>94</v>
      </c>
      <c r="G45" s="5" t="s">
        <v>17</v>
      </c>
      <c r="H45" s="4"/>
      <c r="I45" s="4"/>
      <c r="J45" s="4"/>
      <c r="K45" s="4"/>
      <c r="L45" s="4"/>
    </row>
    <row r="46" spans="1:12">
      <c r="A46">
        <v>74</v>
      </c>
      <c r="B46" t="s">
        <v>298</v>
      </c>
      <c r="D46" s="6" t="s">
        <v>95</v>
      </c>
      <c r="E46" s="7"/>
      <c r="F46" s="6"/>
      <c r="G46" s="7"/>
      <c r="H46" s="6"/>
      <c r="I46" s="6"/>
      <c r="J46" s="6"/>
      <c r="K46" s="6"/>
      <c r="L46" s="6"/>
    </row>
    <row r="47" spans="1:12">
      <c r="A47">
        <v>76</v>
      </c>
      <c r="B47" t="s">
        <v>298</v>
      </c>
      <c r="C47" t="s">
        <v>300</v>
      </c>
      <c r="D47" s="4" t="s">
        <v>96</v>
      </c>
      <c r="E47" s="5" t="s">
        <v>97</v>
      </c>
      <c r="F47" s="4" t="s">
        <v>98</v>
      </c>
      <c r="G47" s="5" t="s">
        <v>17</v>
      </c>
      <c r="H47" s="4"/>
      <c r="I47" s="4"/>
      <c r="J47" s="4"/>
      <c r="K47" s="4"/>
      <c r="L47" s="4"/>
    </row>
    <row r="48" spans="1:12">
      <c r="A48">
        <v>78</v>
      </c>
      <c r="B48" t="s">
        <v>298</v>
      </c>
      <c r="C48" t="s">
        <v>300</v>
      </c>
      <c r="D48" s="4" t="s">
        <v>99</v>
      </c>
      <c r="E48" s="5" t="s">
        <v>100</v>
      </c>
      <c r="F48" s="4" t="s">
        <v>101</v>
      </c>
      <c r="G48" s="5" t="s">
        <v>17</v>
      </c>
      <c r="H48" s="4"/>
      <c r="I48" s="4"/>
      <c r="J48" s="4"/>
      <c r="K48" s="4"/>
      <c r="L48" s="4"/>
    </row>
    <row r="49" spans="1:12">
      <c r="A49">
        <v>80</v>
      </c>
      <c r="B49" t="s">
        <v>298</v>
      </c>
      <c r="D49" s="6" t="s">
        <v>102</v>
      </c>
      <c r="E49" s="7"/>
      <c r="F49" s="6"/>
      <c r="G49" s="7"/>
      <c r="H49" s="6"/>
      <c r="I49" s="6"/>
      <c r="J49" s="6"/>
      <c r="K49" s="6"/>
      <c r="L49" s="6"/>
    </row>
    <row r="50" spans="1:12">
      <c r="A50" s="4">
        <v>82</v>
      </c>
      <c r="B50" s="4" t="s">
        <v>298</v>
      </c>
      <c r="C50" s="4" t="s">
        <v>301</v>
      </c>
      <c r="D50" s="4" t="s">
        <v>103</v>
      </c>
      <c r="E50" s="5" t="s">
        <v>104</v>
      </c>
      <c r="F50" s="4" t="s">
        <v>105</v>
      </c>
      <c r="G50" s="5" t="s">
        <v>17</v>
      </c>
      <c r="H50" s="4"/>
      <c r="I50" s="4"/>
      <c r="J50" s="4"/>
      <c r="K50" s="4"/>
      <c r="L50" s="4"/>
    </row>
    <row r="51" spans="1:12">
      <c r="A51" s="4">
        <v>84</v>
      </c>
      <c r="B51" s="4" t="s">
        <v>298</v>
      </c>
      <c r="C51" s="4" t="s">
        <v>301</v>
      </c>
      <c r="D51" s="4" t="s">
        <v>106</v>
      </c>
      <c r="E51" s="5" t="s">
        <v>107</v>
      </c>
      <c r="F51" s="4" t="s">
        <v>108</v>
      </c>
      <c r="G51" s="5" t="s">
        <v>17</v>
      </c>
      <c r="H51" s="4"/>
      <c r="I51" s="4"/>
      <c r="J51" s="4"/>
      <c r="K51" s="4"/>
      <c r="L51" s="4"/>
    </row>
    <row r="52" spans="1:12">
      <c r="A52">
        <v>86</v>
      </c>
      <c r="D52" s="1" t="s">
        <v>109</v>
      </c>
      <c r="E52" s="1"/>
      <c r="F52" s="1"/>
      <c r="G52" s="8"/>
      <c r="H52" s="1"/>
      <c r="I52" s="1"/>
      <c r="J52" s="1"/>
      <c r="K52" s="1"/>
      <c r="L52" s="1"/>
    </row>
    <row r="53" spans="1:12">
      <c r="A53">
        <v>88</v>
      </c>
      <c r="D53" s="9" t="s">
        <v>110</v>
      </c>
      <c r="E53" s="10"/>
      <c r="F53" s="9"/>
      <c r="G53" s="10"/>
      <c r="H53" s="9"/>
      <c r="I53" s="9"/>
      <c r="J53" s="9"/>
      <c r="K53" s="9"/>
      <c r="L53" s="9"/>
    </row>
    <row r="54" spans="1:12">
      <c r="A54">
        <v>90</v>
      </c>
      <c r="B54" t="str">
        <f t="shared" ref="B54:B85" si="0">IF(C54&lt;&gt;"","วิชาเอก","")</f>
        <v>วิชาเอก</v>
      </c>
      <c r="C54" t="s">
        <v>302</v>
      </c>
      <c r="D54" s="4" t="s">
        <v>111</v>
      </c>
      <c r="E54" s="5" t="s">
        <v>112</v>
      </c>
      <c r="F54" s="4" t="s">
        <v>113</v>
      </c>
      <c r="G54" s="5" t="s">
        <v>17</v>
      </c>
      <c r="H54" s="4"/>
      <c r="I54" s="4"/>
      <c r="J54" s="4"/>
      <c r="K54" s="4"/>
      <c r="L54" s="4"/>
    </row>
    <row r="55" spans="1:12">
      <c r="A55">
        <v>92</v>
      </c>
      <c r="B55" t="str">
        <f t="shared" si="0"/>
        <v>วิชาเอก</v>
      </c>
      <c r="C55" t="s">
        <v>302</v>
      </c>
      <c r="D55" s="4" t="s">
        <v>114</v>
      </c>
      <c r="E55" s="5" t="s">
        <v>115</v>
      </c>
      <c r="F55" s="4" t="s">
        <v>116</v>
      </c>
      <c r="G55" s="5" t="s">
        <v>17</v>
      </c>
      <c r="H55" s="4"/>
      <c r="I55" s="4"/>
      <c r="J55" s="4"/>
      <c r="K55" s="4"/>
      <c r="L55" s="4"/>
    </row>
    <row r="56" spans="1:12">
      <c r="A56">
        <v>94</v>
      </c>
      <c r="B56" t="str">
        <f t="shared" si="0"/>
        <v>วิชาเอก</v>
      </c>
      <c r="C56" t="s">
        <v>302</v>
      </c>
      <c r="D56" s="4" t="s">
        <v>117</v>
      </c>
      <c r="E56" s="5" t="s">
        <v>118</v>
      </c>
      <c r="F56" s="4" t="s">
        <v>119</v>
      </c>
      <c r="G56" s="5" t="s">
        <v>17</v>
      </c>
      <c r="H56" s="4"/>
      <c r="I56" s="4"/>
      <c r="J56" s="4"/>
      <c r="K56" s="4"/>
      <c r="L56" s="4"/>
    </row>
    <row r="57" spans="1:12">
      <c r="A57">
        <v>96</v>
      </c>
      <c r="B57" t="str">
        <f t="shared" si="0"/>
        <v>วิชาเอก</v>
      </c>
      <c r="C57" t="s">
        <v>302</v>
      </c>
      <c r="D57" s="4" t="s">
        <v>120</v>
      </c>
      <c r="E57" s="5" t="s">
        <v>121</v>
      </c>
      <c r="F57" s="4" t="s">
        <v>122</v>
      </c>
      <c r="G57" s="5" t="s">
        <v>83</v>
      </c>
      <c r="H57" s="4"/>
      <c r="I57" s="4"/>
      <c r="J57" s="4"/>
      <c r="K57" s="4"/>
      <c r="L57" s="4"/>
    </row>
    <row r="58" spans="1:12">
      <c r="A58">
        <v>98</v>
      </c>
      <c r="B58" t="str">
        <f t="shared" si="0"/>
        <v>วิชาเอก</v>
      </c>
      <c r="C58" t="s">
        <v>302</v>
      </c>
      <c r="D58" s="4" t="s">
        <v>123</v>
      </c>
      <c r="E58" s="5" t="s">
        <v>124</v>
      </c>
      <c r="F58" s="4" t="s">
        <v>125</v>
      </c>
      <c r="G58" s="5" t="s">
        <v>17</v>
      </c>
      <c r="H58" s="4"/>
      <c r="I58" s="4"/>
      <c r="J58" s="4"/>
      <c r="K58" s="4"/>
      <c r="L58" s="4"/>
    </row>
    <row r="59" spans="1:12">
      <c r="A59">
        <v>100</v>
      </c>
      <c r="B59" t="str">
        <f t="shared" si="0"/>
        <v>วิชาเอก</v>
      </c>
      <c r="C59" t="s">
        <v>302</v>
      </c>
      <c r="D59" s="4" t="s">
        <v>126</v>
      </c>
      <c r="E59" s="5" t="s">
        <v>127</v>
      </c>
      <c r="F59" s="4" t="s">
        <v>128</v>
      </c>
      <c r="G59" s="5" t="s">
        <v>83</v>
      </c>
      <c r="H59" s="4"/>
      <c r="I59" s="4"/>
      <c r="J59" s="4"/>
      <c r="K59" s="4"/>
      <c r="L59" s="4"/>
    </row>
    <row r="60" spans="1:12">
      <c r="A60">
        <v>146</v>
      </c>
      <c r="B60" t="str">
        <f t="shared" si="0"/>
        <v/>
      </c>
      <c r="D60" s="9" t="s">
        <v>176</v>
      </c>
      <c r="E60" s="10"/>
      <c r="F60" s="9"/>
      <c r="G60" s="10"/>
      <c r="H60" s="9"/>
      <c r="I60" s="9"/>
      <c r="J60" s="9"/>
      <c r="K60" s="9"/>
      <c r="L60" s="9"/>
    </row>
    <row r="61" spans="1:12">
      <c r="A61">
        <v>147</v>
      </c>
      <c r="B61" t="str">
        <f t="shared" si="0"/>
        <v/>
      </c>
      <c r="D61" s="6" t="s">
        <v>309</v>
      </c>
      <c r="E61" s="7"/>
      <c r="F61" s="6"/>
      <c r="G61" s="7"/>
      <c r="H61" s="6"/>
      <c r="I61" s="6"/>
      <c r="J61" s="6"/>
      <c r="K61" s="6"/>
      <c r="L61" s="6"/>
    </row>
    <row r="62" spans="1:12">
      <c r="A62">
        <v>149</v>
      </c>
      <c r="B62" t="str">
        <f t="shared" si="0"/>
        <v>วิชาเอก</v>
      </c>
      <c r="C62" t="s">
        <v>308</v>
      </c>
      <c r="D62" s="4" t="s">
        <v>177</v>
      </c>
      <c r="E62" s="5" t="s">
        <v>178</v>
      </c>
      <c r="F62" s="4" t="s">
        <v>179</v>
      </c>
      <c r="G62" s="5" t="s">
        <v>83</v>
      </c>
      <c r="H62" s="4"/>
      <c r="I62" s="4"/>
      <c r="J62" s="4"/>
      <c r="K62" s="4"/>
      <c r="L62" s="4"/>
    </row>
    <row r="63" spans="1:12">
      <c r="A63">
        <v>151</v>
      </c>
      <c r="B63" t="str">
        <f t="shared" si="0"/>
        <v>วิชาเอก</v>
      </c>
      <c r="C63" t="s">
        <v>308</v>
      </c>
      <c r="D63" s="4" t="s">
        <v>180</v>
      </c>
      <c r="E63" s="5" t="s">
        <v>181</v>
      </c>
      <c r="F63" s="4" t="s">
        <v>182</v>
      </c>
      <c r="G63" s="5" t="s">
        <v>183</v>
      </c>
      <c r="H63" s="4"/>
      <c r="I63" s="4"/>
      <c r="J63" s="4"/>
      <c r="K63" s="4"/>
      <c r="L63" s="4"/>
    </row>
    <row r="64" spans="1:12">
      <c r="A64">
        <v>153</v>
      </c>
      <c r="B64" t="str">
        <f t="shared" si="0"/>
        <v>วิชาเอก</v>
      </c>
      <c r="C64" t="s">
        <v>308</v>
      </c>
      <c r="D64" s="4" t="s">
        <v>184</v>
      </c>
      <c r="E64" s="5" t="s">
        <v>185</v>
      </c>
      <c r="F64" s="4" t="s">
        <v>186</v>
      </c>
      <c r="G64" s="5" t="s">
        <v>83</v>
      </c>
      <c r="H64" s="4"/>
      <c r="I64" s="4"/>
      <c r="J64" s="4"/>
      <c r="K64" s="4"/>
      <c r="L64" s="4"/>
    </row>
    <row r="65" spans="1:12">
      <c r="A65">
        <v>155</v>
      </c>
      <c r="B65" t="str">
        <f t="shared" si="0"/>
        <v>วิชาเอก</v>
      </c>
      <c r="C65" t="s">
        <v>308</v>
      </c>
      <c r="D65" s="4" t="s">
        <v>187</v>
      </c>
      <c r="E65" s="5" t="s">
        <v>188</v>
      </c>
      <c r="F65" s="4" t="s">
        <v>189</v>
      </c>
      <c r="G65" s="5" t="s">
        <v>83</v>
      </c>
      <c r="H65" s="4"/>
      <c r="I65" s="4"/>
      <c r="J65" s="4"/>
      <c r="K65" s="4"/>
      <c r="L65" s="4"/>
    </row>
    <row r="66" spans="1:12">
      <c r="A66">
        <v>157</v>
      </c>
      <c r="B66" t="str">
        <f t="shared" si="0"/>
        <v>วิชาเอก</v>
      </c>
      <c r="C66" t="s">
        <v>308</v>
      </c>
      <c r="D66" s="4" t="s">
        <v>190</v>
      </c>
      <c r="E66" s="5" t="s">
        <v>191</v>
      </c>
      <c r="F66" s="4" t="s">
        <v>192</v>
      </c>
      <c r="G66" s="5" t="s">
        <v>183</v>
      </c>
      <c r="H66" s="4"/>
      <c r="I66" s="4"/>
      <c r="J66" s="4"/>
      <c r="K66" s="4"/>
      <c r="L66" s="4"/>
    </row>
    <row r="67" spans="1:12">
      <c r="A67">
        <v>161</v>
      </c>
      <c r="B67" t="str">
        <f t="shared" si="0"/>
        <v/>
      </c>
      <c r="D67" s="6" t="s">
        <v>313</v>
      </c>
      <c r="E67" s="7"/>
      <c r="F67" s="6"/>
      <c r="G67" s="7"/>
      <c r="H67" s="6"/>
      <c r="I67" s="6"/>
      <c r="J67" s="6"/>
      <c r="K67" s="6"/>
      <c r="L67" s="6"/>
    </row>
    <row r="68" spans="1:12">
      <c r="A68">
        <v>163</v>
      </c>
      <c r="B68" t="str">
        <f t="shared" si="0"/>
        <v>วิชาเอก</v>
      </c>
      <c r="C68" t="s">
        <v>312</v>
      </c>
      <c r="D68" s="4" t="s">
        <v>193</v>
      </c>
      <c r="E68" s="5" t="s">
        <v>194</v>
      </c>
      <c r="F68" s="4" t="s">
        <v>195</v>
      </c>
      <c r="G68" s="5" t="s">
        <v>83</v>
      </c>
      <c r="H68" s="4"/>
      <c r="I68" s="4"/>
      <c r="J68" s="4"/>
      <c r="K68" s="4"/>
      <c r="L68" s="4"/>
    </row>
    <row r="69" spans="1:12">
      <c r="A69">
        <v>165</v>
      </c>
      <c r="B69" t="str">
        <f t="shared" si="0"/>
        <v>วิชาเอก</v>
      </c>
      <c r="C69" t="s">
        <v>312</v>
      </c>
      <c r="D69" s="4" t="s">
        <v>196</v>
      </c>
      <c r="E69" s="5" t="s">
        <v>197</v>
      </c>
      <c r="F69" s="4" t="s">
        <v>198</v>
      </c>
      <c r="G69" s="5" t="s">
        <v>83</v>
      </c>
      <c r="H69" s="4"/>
      <c r="I69" s="4"/>
      <c r="J69" s="4"/>
      <c r="K69" s="4"/>
      <c r="L69" s="4"/>
    </row>
    <row r="70" spans="1:12">
      <c r="A70">
        <v>167</v>
      </c>
      <c r="B70" t="str">
        <f t="shared" si="0"/>
        <v>วิชาเอก</v>
      </c>
      <c r="C70" t="s">
        <v>312</v>
      </c>
      <c r="D70" s="4" t="s">
        <v>199</v>
      </c>
      <c r="E70" s="5" t="s">
        <v>200</v>
      </c>
      <c r="F70" s="4" t="s">
        <v>201</v>
      </c>
      <c r="G70" s="5" t="s">
        <v>83</v>
      </c>
      <c r="H70" s="4"/>
      <c r="I70" s="4"/>
      <c r="J70" s="4"/>
      <c r="K70" s="4"/>
      <c r="L70" s="4"/>
    </row>
    <row r="71" spans="1:12">
      <c r="A71">
        <v>169</v>
      </c>
      <c r="B71" t="str">
        <f t="shared" si="0"/>
        <v>วิชาเอก</v>
      </c>
      <c r="C71" t="s">
        <v>312</v>
      </c>
      <c r="D71" s="4" t="s">
        <v>202</v>
      </c>
      <c r="E71" s="5" t="s">
        <v>203</v>
      </c>
      <c r="F71" s="4" t="s">
        <v>204</v>
      </c>
      <c r="G71" s="5" t="s">
        <v>83</v>
      </c>
      <c r="H71" s="4"/>
      <c r="I71" s="4"/>
      <c r="J71" s="4"/>
      <c r="K71" s="4"/>
      <c r="L71" s="4"/>
    </row>
    <row r="72" spans="1:12">
      <c r="A72">
        <v>171</v>
      </c>
      <c r="B72" t="str">
        <f t="shared" si="0"/>
        <v>วิชาเอก</v>
      </c>
      <c r="C72" t="s">
        <v>312</v>
      </c>
      <c r="D72" s="4" t="s">
        <v>205</v>
      </c>
      <c r="E72" s="5" t="s">
        <v>206</v>
      </c>
      <c r="F72" s="4" t="s">
        <v>207</v>
      </c>
      <c r="G72" s="5" t="s">
        <v>183</v>
      </c>
      <c r="H72" s="4"/>
      <c r="I72" s="4"/>
      <c r="J72" s="4"/>
      <c r="K72" s="4"/>
      <c r="L72" s="4"/>
    </row>
    <row r="73" spans="1:12">
      <c r="A73">
        <v>173</v>
      </c>
      <c r="B73" t="str">
        <f t="shared" si="0"/>
        <v>วิชาเอก</v>
      </c>
      <c r="C73" t="s">
        <v>312</v>
      </c>
      <c r="D73" s="4" t="s">
        <v>208</v>
      </c>
      <c r="E73" s="5" t="s">
        <v>209</v>
      </c>
      <c r="F73" s="4" t="s">
        <v>210</v>
      </c>
      <c r="G73" s="5" t="s">
        <v>211</v>
      </c>
      <c r="H73" s="4"/>
      <c r="I73" s="4"/>
      <c r="J73" s="4"/>
      <c r="K73" s="4"/>
      <c r="L73" s="4"/>
    </row>
    <row r="74" spans="1:12">
      <c r="A74">
        <v>175</v>
      </c>
      <c r="B74" t="str">
        <f t="shared" si="0"/>
        <v>วิชาเอก</v>
      </c>
      <c r="C74" t="s">
        <v>312</v>
      </c>
      <c r="D74" s="4" t="s">
        <v>212</v>
      </c>
      <c r="E74" s="5" t="s">
        <v>213</v>
      </c>
      <c r="F74" s="4" t="s">
        <v>214</v>
      </c>
      <c r="G74" s="5" t="s">
        <v>211</v>
      </c>
      <c r="H74" s="4"/>
      <c r="I74" s="4"/>
      <c r="J74" s="4"/>
      <c r="K74" s="4"/>
      <c r="L74" s="4"/>
    </row>
    <row r="75" spans="1:12">
      <c r="A75">
        <v>177</v>
      </c>
      <c r="B75" t="str">
        <f t="shared" si="0"/>
        <v>วิชาเอก</v>
      </c>
      <c r="C75" t="s">
        <v>312</v>
      </c>
      <c r="D75" s="4" t="s">
        <v>215</v>
      </c>
      <c r="E75" s="5" t="s">
        <v>216</v>
      </c>
      <c r="F75" s="4" t="s">
        <v>217</v>
      </c>
      <c r="G75" s="5" t="s">
        <v>83</v>
      </c>
      <c r="H75" s="4"/>
      <c r="I75" s="4"/>
      <c r="J75" s="4"/>
      <c r="K75" s="4"/>
      <c r="L75" s="4"/>
    </row>
    <row r="76" spans="1:12">
      <c r="A76">
        <v>181</v>
      </c>
      <c r="B76" t="str">
        <f t="shared" si="0"/>
        <v/>
      </c>
      <c r="D76" s="6" t="s">
        <v>314</v>
      </c>
      <c r="E76" s="7"/>
      <c r="F76" s="6"/>
      <c r="G76" s="7"/>
      <c r="H76" s="6"/>
      <c r="I76" s="6"/>
      <c r="J76" s="6"/>
      <c r="K76" s="6"/>
      <c r="L76" s="6"/>
    </row>
    <row r="77" spans="1:12">
      <c r="A77">
        <v>183</v>
      </c>
      <c r="B77" t="str">
        <f t="shared" si="0"/>
        <v>วิชาเอก</v>
      </c>
      <c r="C77" t="s">
        <v>315</v>
      </c>
      <c r="D77" s="4" t="s">
        <v>218</v>
      </c>
      <c r="E77" s="5" t="s">
        <v>219</v>
      </c>
      <c r="F77" s="4" t="s">
        <v>220</v>
      </c>
      <c r="G77" s="5" t="s">
        <v>83</v>
      </c>
      <c r="H77" s="4"/>
      <c r="I77" s="4"/>
      <c r="J77" s="4"/>
      <c r="K77" s="4"/>
      <c r="L77" s="4"/>
    </row>
    <row r="78" spans="1:12">
      <c r="A78">
        <v>185</v>
      </c>
      <c r="B78" t="str">
        <f t="shared" si="0"/>
        <v>วิชาเอก</v>
      </c>
      <c r="C78" t="s">
        <v>315</v>
      </c>
      <c r="D78" s="4" t="s">
        <v>221</v>
      </c>
      <c r="E78" s="5" t="s">
        <v>222</v>
      </c>
      <c r="F78" s="4" t="s">
        <v>223</v>
      </c>
      <c r="G78" s="5" t="s">
        <v>83</v>
      </c>
      <c r="H78" s="4"/>
      <c r="I78" s="4"/>
      <c r="J78" s="4"/>
      <c r="K78" s="4"/>
      <c r="L78" s="4"/>
    </row>
    <row r="79" spans="1:12">
      <c r="A79">
        <v>187</v>
      </c>
      <c r="B79" t="str">
        <f t="shared" si="0"/>
        <v>วิชาเอก</v>
      </c>
      <c r="C79" t="s">
        <v>315</v>
      </c>
      <c r="D79" s="4" t="s">
        <v>224</v>
      </c>
      <c r="E79" s="5" t="s">
        <v>225</v>
      </c>
      <c r="F79" s="4" t="s">
        <v>226</v>
      </c>
      <c r="G79" s="5" t="s">
        <v>83</v>
      </c>
      <c r="H79" s="4"/>
      <c r="I79" s="4"/>
      <c r="J79" s="4"/>
      <c r="K79" s="4"/>
      <c r="L79" s="4"/>
    </row>
    <row r="80" spans="1:12">
      <c r="A80">
        <v>189</v>
      </c>
      <c r="B80" t="str">
        <f t="shared" si="0"/>
        <v>วิชาเอก</v>
      </c>
      <c r="C80" t="s">
        <v>315</v>
      </c>
      <c r="D80" s="4" t="s">
        <v>227</v>
      </c>
      <c r="E80" s="5" t="s">
        <v>228</v>
      </c>
      <c r="F80" s="4" t="s">
        <v>229</v>
      </c>
      <c r="G80" s="5" t="s">
        <v>83</v>
      </c>
      <c r="H80" s="4"/>
      <c r="I80" s="4"/>
      <c r="J80" s="4"/>
      <c r="K80" s="4"/>
      <c r="L80" s="4"/>
    </row>
    <row r="81" spans="1:12">
      <c r="A81">
        <v>193</v>
      </c>
      <c r="B81" t="str">
        <f t="shared" si="0"/>
        <v/>
      </c>
      <c r="D81" s="6" t="s">
        <v>316</v>
      </c>
      <c r="E81" s="7"/>
      <c r="F81" s="6"/>
      <c r="G81" s="7"/>
      <c r="H81" s="6"/>
      <c r="I81" s="6"/>
      <c r="J81" s="6"/>
      <c r="K81" s="6"/>
      <c r="L81" s="6"/>
    </row>
    <row r="82" spans="1:12">
      <c r="A82">
        <v>195</v>
      </c>
      <c r="B82" t="str">
        <f t="shared" si="0"/>
        <v>วิชาเอก</v>
      </c>
      <c r="C82" t="s">
        <v>317</v>
      </c>
      <c r="D82" s="4" t="s">
        <v>230</v>
      </c>
      <c r="E82" s="5" t="s">
        <v>231</v>
      </c>
      <c r="F82" s="4" t="s">
        <v>232</v>
      </c>
      <c r="G82" s="5" t="s">
        <v>83</v>
      </c>
      <c r="H82" s="4"/>
      <c r="I82" s="4"/>
      <c r="J82" s="4"/>
      <c r="K82" s="4"/>
      <c r="L82" s="4"/>
    </row>
    <row r="83" spans="1:12">
      <c r="A83">
        <v>197</v>
      </c>
      <c r="B83" t="str">
        <f t="shared" si="0"/>
        <v>วิชาเอก</v>
      </c>
      <c r="C83" t="s">
        <v>317</v>
      </c>
      <c r="D83" s="4" t="s">
        <v>233</v>
      </c>
      <c r="E83" s="5" t="s">
        <v>234</v>
      </c>
      <c r="F83" s="4" t="s">
        <v>235</v>
      </c>
      <c r="G83" s="5" t="s">
        <v>83</v>
      </c>
      <c r="H83" s="4"/>
      <c r="I83" s="4"/>
      <c r="J83" s="4"/>
      <c r="K83" s="4"/>
      <c r="L83" s="4"/>
    </row>
    <row r="84" spans="1:12">
      <c r="A84">
        <v>199</v>
      </c>
      <c r="B84" t="str">
        <f t="shared" si="0"/>
        <v>วิชาเอก</v>
      </c>
      <c r="C84" t="s">
        <v>317</v>
      </c>
      <c r="D84" s="4" t="s">
        <v>236</v>
      </c>
      <c r="E84" s="5" t="s">
        <v>237</v>
      </c>
      <c r="F84" s="4" t="s">
        <v>238</v>
      </c>
      <c r="G84" s="5" t="s">
        <v>83</v>
      </c>
      <c r="H84" s="4"/>
      <c r="I84" s="4"/>
      <c r="J84" s="4"/>
      <c r="K84" s="4"/>
      <c r="L84" s="4"/>
    </row>
    <row r="85" spans="1:12">
      <c r="A85">
        <v>104</v>
      </c>
      <c r="B85" t="str">
        <f t="shared" si="0"/>
        <v/>
      </c>
      <c r="D85" s="9" t="s">
        <v>129</v>
      </c>
      <c r="E85" s="10"/>
      <c r="F85" s="9"/>
      <c r="G85" s="10"/>
      <c r="H85" s="9"/>
      <c r="I85" s="9"/>
      <c r="J85" s="9"/>
      <c r="K85" s="9"/>
      <c r="L85" s="9"/>
    </row>
    <row r="86" spans="1:12">
      <c r="A86">
        <v>105</v>
      </c>
      <c r="B86" t="str">
        <f t="shared" ref="B86:B117" si="1">IF(C86&lt;&gt;"","วิชาเอก","")</f>
        <v/>
      </c>
      <c r="D86" s="6" t="s">
        <v>280</v>
      </c>
      <c r="E86" s="7"/>
      <c r="F86" s="6"/>
      <c r="G86" s="7"/>
      <c r="H86" s="6"/>
      <c r="I86" s="6"/>
      <c r="J86" s="6"/>
      <c r="K86" s="6"/>
      <c r="L86" s="6"/>
    </row>
    <row r="87" spans="1:12">
      <c r="A87">
        <v>107</v>
      </c>
      <c r="B87" t="str">
        <f t="shared" si="1"/>
        <v>วิชาเอก</v>
      </c>
      <c r="C87" t="s">
        <v>303</v>
      </c>
      <c r="D87" s="4" t="s">
        <v>130</v>
      </c>
      <c r="E87" s="5" t="s">
        <v>131</v>
      </c>
      <c r="F87" s="4" t="s">
        <v>132</v>
      </c>
      <c r="G87" s="5" t="s">
        <v>133</v>
      </c>
      <c r="H87" s="4"/>
      <c r="I87" s="4"/>
      <c r="J87" s="4"/>
      <c r="K87" s="4"/>
      <c r="L87" s="4"/>
    </row>
    <row r="88" spans="1:12">
      <c r="A88">
        <v>111</v>
      </c>
      <c r="B88" t="str">
        <f t="shared" si="1"/>
        <v/>
      </c>
      <c r="D88" s="6" t="s">
        <v>134</v>
      </c>
      <c r="E88" s="7"/>
      <c r="F88" s="6"/>
      <c r="G88" s="7"/>
      <c r="H88" s="6"/>
      <c r="I88" s="6"/>
      <c r="J88" s="6"/>
      <c r="K88" s="6"/>
      <c r="L88" s="6"/>
    </row>
    <row r="89" spans="1:12">
      <c r="A89">
        <v>113</v>
      </c>
      <c r="B89" t="str">
        <f t="shared" si="1"/>
        <v>วิชาเอก</v>
      </c>
      <c r="C89" t="s">
        <v>304</v>
      </c>
      <c r="D89" s="4" t="s">
        <v>135</v>
      </c>
      <c r="E89" s="5" t="s">
        <v>136</v>
      </c>
      <c r="F89" s="4" t="s">
        <v>137</v>
      </c>
      <c r="G89" s="5" t="s">
        <v>138</v>
      </c>
      <c r="H89" s="4"/>
      <c r="I89" s="4"/>
      <c r="J89" s="4"/>
      <c r="K89" s="4"/>
      <c r="L89" s="4"/>
    </row>
    <row r="90" spans="1:12">
      <c r="A90">
        <v>203</v>
      </c>
      <c r="B90" t="str">
        <f t="shared" si="1"/>
        <v/>
      </c>
      <c r="D90" s="9" t="s">
        <v>239</v>
      </c>
      <c r="E90" s="10"/>
      <c r="F90" s="9"/>
      <c r="G90" s="10"/>
      <c r="H90" s="9"/>
      <c r="I90" s="9"/>
      <c r="J90" s="9"/>
      <c r="K90" s="9"/>
      <c r="L90" s="9" t="s">
        <v>324</v>
      </c>
    </row>
    <row r="91" spans="1:12">
      <c r="A91">
        <v>204</v>
      </c>
      <c r="B91" t="str">
        <f t="shared" si="1"/>
        <v/>
      </c>
      <c r="D91" s="11" t="s">
        <v>310</v>
      </c>
      <c r="E91" s="3"/>
      <c r="F91" s="2"/>
      <c r="G91" s="3"/>
      <c r="H91" s="2"/>
      <c r="I91" s="2"/>
      <c r="J91" s="2"/>
      <c r="K91" s="2"/>
      <c r="L91" s="2"/>
    </row>
    <row r="92" spans="1:12">
      <c r="A92">
        <v>206</v>
      </c>
      <c r="B92" t="str">
        <f t="shared" si="1"/>
        <v>วิชาเอก</v>
      </c>
      <c r="C92" t="s">
        <v>311</v>
      </c>
      <c r="D92" s="4" t="s">
        <v>240</v>
      </c>
      <c r="E92" s="5" t="s">
        <v>241</v>
      </c>
      <c r="F92" s="4" t="s">
        <v>242</v>
      </c>
      <c r="G92" s="5" t="s">
        <v>83</v>
      </c>
      <c r="H92" s="4"/>
      <c r="I92" s="4"/>
      <c r="J92" s="4"/>
      <c r="K92" s="4"/>
      <c r="L92" s="4"/>
    </row>
    <row r="93" spans="1:12">
      <c r="A93">
        <v>208</v>
      </c>
      <c r="B93" t="str">
        <f t="shared" si="1"/>
        <v>วิชาเอก</v>
      </c>
      <c r="C93" t="s">
        <v>311</v>
      </c>
      <c r="D93" s="4" t="s">
        <v>243</v>
      </c>
      <c r="E93" s="5" t="s">
        <v>244</v>
      </c>
      <c r="F93" s="4" t="s">
        <v>245</v>
      </c>
      <c r="G93" s="5" t="s">
        <v>83</v>
      </c>
      <c r="H93" s="4"/>
      <c r="I93" s="4"/>
      <c r="J93" s="4"/>
      <c r="K93" s="4"/>
      <c r="L93" s="4"/>
    </row>
    <row r="94" spans="1:12">
      <c r="A94">
        <v>210</v>
      </c>
      <c r="B94" t="str">
        <f t="shared" si="1"/>
        <v>วิชาเอก</v>
      </c>
      <c r="C94" t="s">
        <v>311</v>
      </c>
      <c r="D94" s="4" t="s">
        <v>246</v>
      </c>
      <c r="E94" s="5" t="s">
        <v>247</v>
      </c>
      <c r="F94" s="4" t="s">
        <v>248</v>
      </c>
      <c r="G94" s="5" t="s">
        <v>83</v>
      </c>
      <c r="H94" s="4"/>
      <c r="I94" s="4"/>
      <c r="J94" s="4"/>
      <c r="K94" s="4"/>
      <c r="L94" s="4"/>
    </row>
    <row r="95" spans="1:12">
      <c r="A95">
        <v>212</v>
      </c>
      <c r="B95" t="str">
        <f t="shared" si="1"/>
        <v>วิชาเอก</v>
      </c>
      <c r="C95" t="s">
        <v>311</v>
      </c>
      <c r="D95" s="4" t="s">
        <v>249</v>
      </c>
      <c r="E95" s="5" t="s">
        <v>250</v>
      </c>
      <c r="F95" s="4" t="s">
        <v>251</v>
      </c>
      <c r="G95" s="5" t="s">
        <v>83</v>
      </c>
      <c r="H95" s="4"/>
      <c r="I95" s="4"/>
      <c r="J95" s="4"/>
      <c r="K95" s="4"/>
      <c r="L95" s="4"/>
    </row>
    <row r="96" spans="1:12">
      <c r="A96">
        <v>216</v>
      </c>
      <c r="B96" t="str">
        <f t="shared" si="1"/>
        <v/>
      </c>
      <c r="D96" s="11" t="s">
        <v>252</v>
      </c>
      <c r="E96" s="3"/>
      <c r="F96" s="2"/>
      <c r="G96" s="3"/>
      <c r="H96" s="2"/>
      <c r="I96" s="2"/>
      <c r="J96" s="2"/>
      <c r="K96" s="2"/>
      <c r="L96" s="2"/>
    </row>
    <row r="97" spans="1:12">
      <c r="A97">
        <v>218</v>
      </c>
      <c r="B97" t="str">
        <f t="shared" si="1"/>
        <v>วิชาเอก</v>
      </c>
      <c r="C97" t="s">
        <v>306</v>
      </c>
      <c r="D97" s="4" t="s">
        <v>253</v>
      </c>
      <c r="E97" s="5" t="s">
        <v>254</v>
      </c>
      <c r="F97" s="4" t="s">
        <v>255</v>
      </c>
      <c r="G97" s="5" t="s">
        <v>83</v>
      </c>
      <c r="H97" s="4"/>
      <c r="I97" s="4"/>
      <c r="J97" s="4"/>
      <c r="K97" s="4"/>
      <c r="L97" s="4"/>
    </row>
    <row r="98" spans="1:12">
      <c r="A98">
        <v>220</v>
      </c>
      <c r="B98" t="str">
        <f t="shared" si="1"/>
        <v>วิชาเอก</v>
      </c>
      <c r="C98" t="s">
        <v>306</v>
      </c>
      <c r="D98" s="4" t="s">
        <v>256</v>
      </c>
      <c r="E98" s="5" t="s">
        <v>257</v>
      </c>
      <c r="F98" s="4" t="s">
        <v>258</v>
      </c>
      <c r="G98" s="5" t="s">
        <v>83</v>
      </c>
      <c r="H98" s="4"/>
      <c r="I98" s="4"/>
      <c r="J98" s="4"/>
      <c r="K98" s="4"/>
      <c r="L98" s="4"/>
    </row>
    <row r="99" spans="1:12">
      <c r="A99">
        <v>222</v>
      </c>
      <c r="B99" t="str">
        <f t="shared" si="1"/>
        <v>วิชาเอก</v>
      </c>
      <c r="C99" t="s">
        <v>306</v>
      </c>
      <c r="D99" s="4" t="s">
        <v>259</v>
      </c>
      <c r="E99" s="5" t="s">
        <v>260</v>
      </c>
      <c r="F99" s="4" t="s">
        <v>261</v>
      </c>
      <c r="G99" s="5" t="s">
        <v>83</v>
      </c>
      <c r="H99" s="4"/>
      <c r="I99" s="4"/>
      <c r="J99" s="4"/>
      <c r="K99" s="4"/>
      <c r="L99" s="4"/>
    </row>
    <row r="100" spans="1:12">
      <c r="A100">
        <v>224</v>
      </c>
      <c r="B100" t="str">
        <f t="shared" si="1"/>
        <v>วิชาเอก</v>
      </c>
      <c r="C100" t="s">
        <v>306</v>
      </c>
      <c r="D100" s="4" t="s">
        <v>262</v>
      </c>
      <c r="E100" s="5" t="s">
        <v>263</v>
      </c>
      <c r="F100" s="4" t="s">
        <v>264</v>
      </c>
      <c r="G100" s="5" t="s">
        <v>83</v>
      </c>
      <c r="H100" s="4"/>
      <c r="I100" s="4"/>
      <c r="J100" s="4"/>
      <c r="K100" s="4"/>
      <c r="L100" s="4"/>
    </row>
    <row r="101" spans="1:12">
      <c r="A101">
        <v>228</v>
      </c>
      <c r="B101" t="str">
        <f t="shared" si="1"/>
        <v/>
      </c>
      <c r="D101" s="11" t="s">
        <v>265</v>
      </c>
      <c r="E101" s="3"/>
      <c r="F101" s="2"/>
      <c r="G101" s="3"/>
      <c r="H101" s="2"/>
      <c r="I101" s="2"/>
      <c r="J101" s="2"/>
      <c r="K101" s="2"/>
      <c r="L101" s="2"/>
    </row>
    <row r="102" spans="1:12">
      <c r="A102">
        <v>230</v>
      </c>
      <c r="B102" t="str">
        <f t="shared" si="1"/>
        <v>วิชาเอก</v>
      </c>
      <c r="C102" t="s">
        <v>307</v>
      </c>
      <c r="D102" s="4" t="s">
        <v>266</v>
      </c>
      <c r="E102" s="5" t="s">
        <v>267</v>
      </c>
      <c r="F102" s="4" t="s">
        <v>268</v>
      </c>
      <c r="G102" s="5" t="s">
        <v>83</v>
      </c>
      <c r="H102" s="4"/>
      <c r="I102" s="4"/>
      <c r="J102" s="4"/>
      <c r="K102" s="4"/>
      <c r="L102" s="4"/>
    </row>
    <row r="103" spans="1:12">
      <c r="A103">
        <v>232</v>
      </c>
      <c r="B103" t="str">
        <f t="shared" si="1"/>
        <v>วิชาเอก</v>
      </c>
      <c r="C103" t="s">
        <v>307</v>
      </c>
      <c r="D103" s="4" t="s">
        <v>269</v>
      </c>
      <c r="E103" s="5" t="s">
        <v>270</v>
      </c>
      <c r="F103" s="4" t="s">
        <v>271</v>
      </c>
      <c r="G103" s="5" t="s">
        <v>83</v>
      </c>
      <c r="H103" s="4"/>
      <c r="I103" s="4"/>
      <c r="J103" s="4"/>
      <c r="K103" s="4"/>
      <c r="L103" s="4"/>
    </row>
    <row r="104" spans="1:12">
      <c r="A104">
        <v>234</v>
      </c>
      <c r="B104" t="str">
        <f t="shared" si="1"/>
        <v>วิชาเอก</v>
      </c>
      <c r="C104" t="s">
        <v>307</v>
      </c>
      <c r="D104" s="4" t="s">
        <v>272</v>
      </c>
      <c r="E104" s="5" t="s">
        <v>273</v>
      </c>
      <c r="F104" s="4" t="s">
        <v>274</v>
      </c>
      <c r="G104" s="5" t="s">
        <v>83</v>
      </c>
      <c r="H104" s="4"/>
      <c r="I104" s="4"/>
      <c r="J104" s="4"/>
      <c r="K104" s="4"/>
      <c r="L104" s="4"/>
    </row>
    <row r="105" spans="1:12">
      <c r="A105">
        <v>236</v>
      </c>
      <c r="B105" t="str">
        <f t="shared" si="1"/>
        <v>วิชาเอก</v>
      </c>
      <c r="C105" t="s">
        <v>307</v>
      </c>
      <c r="D105" s="4" t="s">
        <v>275</v>
      </c>
      <c r="E105" s="5" t="s">
        <v>276</v>
      </c>
      <c r="F105" s="4" t="s">
        <v>277</v>
      </c>
      <c r="G105" s="5" t="s">
        <v>83</v>
      </c>
      <c r="H105" s="4"/>
      <c r="I105" s="4"/>
      <c r="J105" s="4"/>
      <c r="K105" s="4"/>
      <c r="L105" s="4"/>
    </row>
    <row r="106" spans="1:12">
      <c r="A106">
        <v>118</v>
      </c>
      <c r="B106" t="str">
        <f t="shared" si="1"/>
        <v/>
      </c>
      <c r="D106" s="9" t="s">
        <v>139</v>
      </c>
      <c r="E106" s="10"/>
      <c r="F106" s="9"/>
      <c r="G106" s="10"/>
      <c r="H106" s="9"/>
      <c r="I106" s="9"/>
      <c r="J106" s="9"/>
      <c r="K106" s="9"/>
      <c r="L106" s="9"/>
    </row>
    <row r="107" spans="1:12">
      <c r="A107">
        <v>120</v>
      </c>
      <c r="B107" t="str">
        <f t="shared" si="1"/>
        <v>วิชาเอก</v>
      </c>
      <c r="C107" t="s">
        <v>305</v>
      </c>
      <c r="D107" s="4" t="s">
        <v>140</v>
      </c>
      <c r="E107" s="5" t="s">
        <v>141</v>
      </c>
      <c r="F107" s="4" t="s">
        <v>142</v>
      </c>
      <c r="G107" s="5" t="s">
        <v>83</v>
      </c>
      <c r="H107" s="4"/>
      <c r="I107" s="4"/>
      <c r="J107" s="4"/>
      <c r="K107" s="4"/>
      <c r="L107" s="4"/>
    </row>
    <row r="108" spans="1:12">
      <c r="A108">
        <v>122</v>
      </c>
      <c r="B108" t="str">
        <f t="shared" si="1"/>
        <v>วิชาเอก</v>
      </c>
      <c r="C108" t="s">
        <v>305</v>
      </c>
      <c r="D108" s="4" t="s">
        <v>143</v>
      </c>
      <c r="E108" s="5" t="s">
        <v>144</v>
      </c>
      <c r="F108" s="4" t="s">
        <v>145</v>
      </c>
      <c r="G108" s="5" t="s">
        <v>83</v>
      </c>
      <c r="H108" s="4"/>
      <c r="I108" s="4"/>
      <c r="J108" s="4"/>
      <c r="K108" s="4"/>
      <c r="L108" s="4"/>
    </row>
    <row r="109" spans="1:12">
      <c r="A109">
        <v>124</v>
      </c>
      <c r="B109" t="str">
        <f t="shared" si="1"/>
        <v>วิชาเอก</v>
      </c>
      <c r="C109" t="s">
        <v>305</v>
      </c>
      <c r="D109" s="4" t="s">
        <v>146</v>
      </c>
      <c r="E109" s="5" t="s">
        <v>147</v>
      </c>
      <c r="F109" s="4" t="s">
        <v>148</v>
      </c>
      <c r="G109" s="5" t="s">
        <v>83</v>
      </c>
      <c r="H109" s="4"/>
      <c r="I109" s="4"/>
      <c r="J109" s="4"/>
      <c r="K109" s="4"/>
      <c r="L109" s="4"/>
    </row>
    <row r="110" spans="1:12">
      <c r="A110">
        <v>126</v>
      </c>
      <c r="B110" t="str">
        <f t="shared" si="1"/>
        <v>วิชาเอก</v>
      </c>
      <c r="C110" t="s">
        <v>305</v>
      </c>
      <c r="D110" s="4" t="s">
        <v>149</v>
      </c>
      <c r="E110" s="5" t="s">
        <v>150</v>
      </c>
      <c r="F110" s="4" t="s">
        <v>151</v>
      </c>
      <c r="G110" s="5" t="s">
        <v>83</v>
      </c>
      <c r="H110" s="4"/>
      <c r="I110" s="4"/>
      <c r="J110" s="4"/>
      <c r="K110" s="4"/>
      <c r="L110" s="4"/>
    </row>
    <row r="111" spans="1:12">
      <c r="A111">
        <v>128</v>
      </c>
      <c r="B111" t="str">
        <f t="shared" si="1"/>
        <v>วิชาเอก</v>
      </c>
      <c r="C111" t="s">
        <v>305</v>
      </c>
      <c r="D111" s="4" t="s">
        <v>152</v>
      </c>
      <c r="E111" s="5" t="s">
        <v>153</v>
      </c>
      <c r="F111" s="4" t="s">
        <v>154</v>
      </c>
      <c r="G111" s="5" t="s">
        <v>83</v>
      </c>
      <c r="H111" s="4"/>
      <c r="I111" s="4"/>
      <c r="J111" s="4"/>
      <c r="K111" s="4"/>
      <c r="L111" s="4"/>
    </row>
    <row r="112" spans="1:12">
      <c r="A112">
        <v>130</v>
      </c>
      <c r="B112" t="str">
        <f t="shared" si="1"/>
        <v>วิชาเอก</v>
      </c>
      <c r="C112" t="s">
        <v>305</v>
      </c>
      <c r="D112" s="4" t="s">
        <v>155</v>
      </c>
      <c r="E112" s="5" t="s">
        <v>156</v>
      </c>
      <c r="F112" s="4" t="s">
        <v>157</v>
      </c>
      <c r="G112" s="5" t="s">
        <v>83</v>
      </c>
      <c r="H112" s="4"/>
      <c r="I112" s="4"/>
      <c r="J112" s="4"/>
      <c r="K112" s="4"/>
      <c r="L112" s="4"/>
    </row>
    <row r="113" spans="1:12">
      <c r="A113">
        <v>132</v>
      </c>
      <c r="B113" t="str">
        <f t="shared" si="1"/>
        <v>วิชาเอก</v>
      </c>
      <c r="C113" t="s">
        <v>305</v>
      </c>
      <c r="D113" s="4" t="s">
        <v>158</v>
      </c>
      <c r="E113" s="5" t="s">
        <v>159</v>
      </c>
      <c r="F113" s="4" t="s">
        <v>160</v>
      </c>
      <c r="G113" s="5" t="s">
        <v>83</v>
      </c>
      <c r="H113" s="4"/>
      <c r="I113" s="4"/>
      <c r="J113" s="4"/>
      <c r="K113" s="4"/>
      <c r="L113" s="4"/>
    </row>
    <row r="114" spans="1:12">
      <c r="A114">
        <v>134</v>
      </c>
      <c r="B114" t="str">
        <f t="shared" si="1"/>
        <v>วิชาเอก</v>
      </c>
      <c r="C114" t="s">
        <v>305</v>
      </c>
      <c r="D114" s="4" t="s">
        <v>161</v>
      </c>
      <c r="E114" s="5" t="s">
        <v>162</v>
      </c>
      <c r="F114" s="4" t="s">
        <v>163</v>
      </c>
      <c r="G114" s="5" t="s">
        <v>83</v>
      </c>
      <c r="H114" s="4"/>
      <c r="I114" s="4"/>
      <c r="J114" s="4"/>
      <c r="K114" s="4"/>
      <c r="L114" s="4"/>
    </row>
    <row r="115" spans="1:12">
      <c r="A115">
        <v>136</v>
      </c>
      <c r="B115" t="str">
        <f t="shared" si="1"/>
        <v>วิชาเอก</v>
      </c>
      <c r="C115" t="s">
        <v>305</v>
      </c>
      <c r="D115" s="4" t="s">
        <v>164</v>
      </c>
      <c r="E115" s="5" t="s">
        <v>165</v>
      </c>
      <c r="F115" s="4" t="s">
        <v>166</v>
      </c>
      <c r="G115" s="5" t="s">
        <v>17</v>
      </c>
      <c r="H115" s="4"/>
      <c r="I115" s="4"/>
      <c r="J115" s="4"/>
      <c r="K115" s="4"/>
      <c r="L115" s="4"/>
    </row>
    <row r="116" spans="1:12">
      <c r="A116">
        <v>138</v>
      </c>
      <c r="B116" t="str">
        <f t="shared" si="1"/>
        <v>วิชาเอก</v>
      </c>
      <c r="C116" t="s">
        <v>305</v>
      </c>
      <c r="D116" s="4" t="s">
        <v>167</v>
      </c>
      <c r="E116" s="5" t="s">
        <v>168</v>
      </c>
      <c r="F116" s="4" t="s">
        <v>169</v>
      </c>
      <c r="G116" s="5" t="s">
        <v>83</v>
      </c>
      <c r="H116" s="4"/>
      <c r="I116" s="4"/>
      <c r="J116" s="4"/>
      <c r="K116" s="4"/>
      <c r="L116" s="4"/>
    </row>
    <row r="117" spans="1:12">
      <c r="A117">
        <v>140</v>
      </c>
      <c r="B117" t="str">
        <f t="shared" si="1"/>
        <v>วิชาเอก</v>
      </c>
      <c r="C117" t="s">
        <v>305</v>
      </c>
      <c r="D117" s="4" t="s">
        <v>170</v>
      </c>
      <c r="E117" s="5" t="s">
        <v>171</v>
      </c>
      <c r="F117" s="4" t="s">
        <v>172</v>
      </c>
      <c r="G117" s="5" t="s">
        <v>83</v>
      </c>
      <c r="H117" s="4"/>
      <c r="I117" s="4"/>
      <c r="J117" s="4"/>
      <c r="K117" s="4"/>
      <c r="L117" s="4"/>
    </row>
    <row r="118" spans="1:12">
      <c r="A118">
        <v>142</v>
      </c>
      <c r="B118" t="str">
        <f t="shared" ref="B118:B119" si="2">IF(C118&lt;&gt;"","วิชาเอก","")</f>
        <v>วิชาเอก</v>
      </c>
      <c r="C118" t="s">
        <v>305</v>
      </c>
      <c r="D118" s="4" t="s">
        <v>173</v>
      </c>
      <c r="E118" s="5" t="s">
        <v>174</v>
      </c>
      <c r="F118" s="4" t="s">
        <v>175</v>
      </c>
      <c r="G118" s="5" t="s">
        <v>83</v>
      </c>
      <c r="H118" s="4"/>
      <c r="I118" s="4"/>
      <c r="J118" s="4"/>
      <c r="K118" s="4"/>
      <c r="L118" s="4"/>
    </row>
    <row r="119" spans="1:12">
      <c r="A119">
        <v>240</v>
      </c>
      <c r="B119" t="str">
        <f t="shared" si="2"/>
        <v/>
      </c>
      <c r="D119" s="1" t="s">
        <v>278</v>
      </c>
      <c r="E119" s="1"/>
      <c r="F119" s="1"/>
      <c r="G119" s="8"/>
      <c r="H119" s="1"/>
      <c r="I119" s="1"/>
      <c r="J119" s="1"/>
      <c r="K119" s="1"/>
      <c r="L119" s="1"/>
    </row>
    <row r="120" spans="1:12">
      <c r="D120" s="4"/>
      <c r="E120" s="4"/>
      <c r="F120" s="4"/>
      <c r="G120" s="5"/>
      <c r="H120" s="4"/>
      <c r="I120" s="4"/>
      <c r="J120" s="4"/>
      <c r="K120" s="4"/>
      <c r="L120" s="4"/>
    </row>
    <row r="121" spans="1:12">
      <c r="D121" s="4"/>
      <c r="E121" s="4"/>
      <c r="F121" s="4"/>
      <c r="G121" s="4"/>
      <c r="H121" s="4"/>
      <c r="I121" s="4"/>
      <c r="J121" s="4"/>
      <c r="K121" s="4"/>
      <c r="L121" s="4"/>
    </row>
    <row r="122" spans="1:12">
      <c r="D122" s="4"/>
      <c r="E122" s="4"/>
      <c r="F122" s="4"/>
      <c r="G122" s="4"/>
      <c r="H122" s="4"/>
      <c r="I122" s="4"/>
      <c r="J122" s="4"/>
      <c r="K122" s="4"/>
      <c r="L122" s="4"/>
    </row>
  </sheetData>
  <mergeCells count="8">
    <mergeCell ref="D1:L1"/>
    <mergeCell ref="D3:D4"/>
    <mergeCell ref="E3:E4"/>
    <mergeCell ref="G3:G4"/>
    <mergeCell ref="H3:I3"/>
    <mergeCell ref="J3:J4"/>
    <mergeCell ref="K3:K4"/>
    <mergeCell ref="L3:L4"/>
  </mergeCells>
  <printOptions horizontalCentered="1"/>
  <pageMargins left="0.39370078740157483" right="0.39370078740157483" top="0.39370078740157483" bottom="0.39370078740157483" header="0.19685039370078741" footer="0.19685039370078741"/>
  <pageSetup paperSize="9" fitToHeight="6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5</vt:i4>
      </vt:variant>
    </vt:vector>
  </HeadingPairs>
  <TitlesOfParts>
    <vt:vector size="8" baseType="lpstr">
      <vt:lpstr>IT</vt:lpstr>
      <vt:lpstr>CS</vt:lpstr>
      <vt:lpstr>IT (2)</vt:lpstr>
      <vt:lpstr>CS!Print_Area</vt:lpstr>
      <vt:lpstr>IT!Print_Area</vt:lpstr>
      <vt:lpstr>CS!Print_Titles</vt:lpstr>
      <vt:lpstr>IT!Print_Titles</vt:lpstr>
      <vt:lpstr>'IT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khwanchai</dc:creator>
  <cp:lastModifiedBy>Yoswari Ajnonla</cp:lastModifiedBy>
  <cp:lastPrinted>2023-10-25T03:46:17Z</cp:lastPrinted>
  <dcterms:created xsi:type="dcterms:W3CDTF">2021-07-14T06:25:11Z</dcterms:created>
  <dcterms:modified xsi:type="dcterms:W3CDTF">2025-11-19T07:45:43Z</dcterms:modified>
</cp:coreProperties>
</file>